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5933822faaa4bf/Staples/Engineering/HUD Projects/projectHUD-landing/projectHUD-landing/documents/"/>
    </mc:Choice>
  </mc:AlternateContent>
  <xr:revisionPtr revIDLastSave="0" documentId="8_{116A4BA7-1CDD-42C8-A85B-2EEF126CC9EC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K32" i="1"/>
  <c r="K33" i="1"/>
  <c r="K34" i="1"/>
  <c r="K35" i="1"/>
  <c r="K36" i="1"/>
  <c r="K37" i="1"/>
  <c r="K38" i="1"/>
  <c r="K39" i="1"/>
  <c r="K40" i="1"/>
  <c r="K41" i="1"/>
  <c r="K29" i="1"/>
  <c r="K42" i="1" l="1"/>
</calcChain>
</file>

<file path=xl/sharedStrings.xml><?xml version="1.0" encoding="utf-8"?>
<sst xmlns="http://schemas.openxmlformats.org/spreadsheetml/2006/main" count="61" uniqueCount="60">
  <si>
    <t>Lighthouse Imaging LLC.</t>
  </si>
  <si>
    <t>Type:</t>
  </si>
  <si>
    <t>Document Number:</t>
  </si>
  <si>
    <t>Q3F-7.4-02</t>
  </si>
  <si>
    <t>Purchase Requisition Form</t>
  </si>
  <si>
    <t>Original Date:</t>
  </si>
  <si>
    <t>Revised By:</t>
  </si>
  <si>
    <t>Revision Date:</t>
  </si>
  <si>
    <t>Revision:</t>
  </si>
  <si>
    <t>Page:</t>
  </si>
  <si>
    <t>Level III</t>
  </si>
  <si>
    <t>Title:</t>
  </si>
  <si>
    <t>Prepared by:</t>
  </si>
  <si>
    <t>See Q2P-7.4, Purchasing, for further information. *Requestor must fill out form and gain approval before forwarding to Purchasing.</t>
  </si>
  <si>
    <t>***Send Approved form, Prints &amp; Quotes to Purchasing@Lighthouseoptics.com***</t>
  </si>
  <si>
    <t>Requested By:</t>
  </si>
  <si>
    <t>Date Requested:</t>
  </si>
  <si>
    <t>Date Needed:</t>
  </si>
  <si>
    <t>Approved By:</t>
  </si>
  <si>
    <t>Vendor/Contact:</t>
  </si>
  <si>
    <t xml:space="preserve">Address: </t>
  </si>
  <si>
    <t>Special Terms:</t>
  </si>
  <si>
    <t>Ship Via:</t>
  </si>
  <si>
    <t>Contact Email:</t>
  </si>
  <si>
    <t>Phone/ Fax:</t>
  </si>
  <si>
    <t>"Ship to" Address:</t>
  </si>
  <si>
    <t>Material Use:</t>
  </si>
  <si>
    <t>Material Type:</t>
  </si>
  <si>
    <t>Project Code:</t>
  </si>
  <si>
    <t>Billable:</t>
  </si>
  <si>
    <t>GL Account:</t>
  </si>
  <si>
    <t>C of C Required:</t>
  </si>
  <si>
    <t>MSDS Required:</t>
  </si>
  <si>
    <t>Qty.</t>
  </si>
  <si>
    <t>Item/Vendor #</t>
  </si>
  <si>
    <t>Rev</t>
  </si>
  <si>
    <t>UOM</t>
  </si>
  <si>
    <t>Description</t>
  </si>
  <si>
    <t>Unit Price</t>
  </si>
  <si>
    <t>Ext. Price</t>
  </si>
  <si>
    <t>Date Ordered:</t>
  </si>
  <si>
    <t>Total Ext:</t>
  </si>
  <si>
    <t>1 of 1</t>
  </si>
  <si>
    <t>Receiving Inspection Required:</t>
  </si>
  <si>
    <t>MGMT</t>
  </si>
  <si>
    <t>05.01.25</t>
  </si>
  <si>
    <t>ASB</t>
  </si>
  <si>
    <t>15.06.02</t>
  </si>
  <si>
    <t>D</t>
  </si>
  <si>
    <t>V. Staples</t>
  </si>
  <si>
    <t>ASAP</t>
  </si>
  <si>
    <t>TRX FedEx</t>
  </si>
  <si>
    <t>LIC</t>
  </si>
  <si>
    <t>TRX005</t>
  </si>
  <si>
    <t>National Aperture</t>
  </si>
  <si>
    <t>5 Northwestern Drive, Salem NH  03079</t>
  </si>
  <si>
    <t>Dan Gentile</t>
  </si>
  <si>
    <t>(603) 893-7393</t>
  </si>
  <si>
    <t>10um Round Aperture</t>
  </si>
  <si>
    <t xml:space="preserve">Comments/Additional Information:
Please reference Quotation #16678 dated 6/25/2015.
Item is:  1-660+B-2+2.4mmOD - 660um 10um Precision Round Aperture, Black Two Sides, 2.4mm OD +0.00, -0.02mm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</si>
</sst>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color rgb="FF000000"/>
      <name val="Tahoma"/>
      <family val="2"/>
    </font>
    <font>
      <b/>
      <sz val="10"/>
      <color theme="1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16" fontId="2" fillId="2" borderId="27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1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2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left" vertical="top"/>
    </xf>
    <xf numFmtId="0" fontId="5" fillId="2" borderId="31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top" wrapText="1"/>
    </xf>
    <xf numFmtId="0" fontId="5" fillId="2" borderId="3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" fontId="2" fillId="2" borderId="29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30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3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0" fontId="5" fillId="2" borderId="30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31" xfId="0" applyFont="1" applyFill="1" applyBorder="1" applyAlignment="1">
      <alignment horizontal="center" vertical="top"/>
    </xf>
    <xf numFmtId="0" fontId="5" fillId="2" borderId="3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31" xfId="0" applyFont="1" applyFill="1" applyBorder="1" applyAlignment="1">
      <alignment horizontal="left" vertical="top" wrapText="1"/>
    </xf>
    <xf numFmtId="0" fontId="5" fillId="2" borderId="3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35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2" fillId="0" borderId="3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4" fontId="2" fillId="0" borderId="3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0" borderId="32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9" xfId="0" applyFont="1" applyBorder="1"/>
    <xf numFmtId="0" fontId="2" fillId="0" borderId="15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22" xfId="0" applyFont="1" applyBorder="1"/>
    <xf numFmtId="0" fontId="2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44" fontId="2" fillId="0" borderId="17" xfId="1" applyFont="1" applyBorder="1"/>
    <xf numFmtId="44" fontId="2" fillId="0" borderId="18" xfId="1" applyFont="1" applyBorder="1"/>
    <xf numFmtId="44" fontId="2" fillId="0" borderId="19" xfId="1" applyFont="1" applyBorder="1"/>
    <xf numFmtId="44" fontId="2" fillId="0" borderId="20" xfId="1" applyFont="1" applyBorder="1"/>
    <xf numFmtId="0" fontId="9" fillId="0" borderId="32" xfId="0" applyFont="1" applyBorder="1" applyAlignment="1">
      <alignment horizontal="center" vertical="top" wrapText="1"/>
    </xf>
    <xf numFmtId="0" fontId="9" fillId="0" borderId="33" xfId="0" applyFont="1" applyBorder="1" applyAlignment="1">
      <alignment horizontal="center" vertical="top" wrapText="1"/>
    </xf>
    <xf numFmtId="44" fontId="2" fillId="0" borderId="21" xfId="1" applyFont="1" applyBorder="1"/>
    <xf numFmtId="44" fontId="2" fillId="0" borderId="2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3</xdr:col>
          <xdr:colOff>297180</xdr:colOff>
          <xdr:row>20</xdr:row>
          <xdr:rowOff>114300</xdr:rowOff>
        </xdr:to>
        <xdr:sp macro="" textlink="">
          <xdr:nvSpPr>
            <xdr:cNvPr id="1027" name="Engineering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Engineering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502920</xdr:colOff>
          <xdr:row>19</xdr:row>
          <xdr:rowOff>106680</xdr:rowOff>
        </xdr:from>
        <xdr:to>
          <xdr:col>5</xdr:col>
          <xdr:colOff>99060</xdr:colOff>
          <xdr:row>20</xdr:row>
          <xdr:rowOff>121920</xdr:rowOff>
        </xdr:to>
        <xdr:sp macro="" textlink="">
          <xdr:nvSpPr>
            <xdr:cNvPr id="1028" name="Engineering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Prototype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19</xdr:row>
          <xdr:rowOff>99060</xdr:rowOff>
        </xdr:from>
        <xdr:to>
          <xdr:col>6</xdr:col>
          <xdr:colOff>251460</xdr:colOff>
          <xdr:row>20</xdr:row>
          <xdr:rowOff>121920</xdr:rowOff>
        </xdr:to>
        <xdr:sp macro="" textlink="">
          <xdr:nvSpPr>
            <xdr:cNvPr id="1029" name="Engineering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R&amp;D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19</xdr:row>
          <xdr:rowOff>99060</xdr:rowOff>
        </xdr:from>
        <xdr:to>
          <xdr:col>7</xdr:col>
          <xdr:colOff>533400</xdr:colOff>
          <xdr:row>20</xdr:row>
          <xdr:rowOff>121920</xdr:rowOff>
        </xdr:to>
        <xdr:sp macro="" textlink="">
          <xdr:nvSpPr>
            <xdr:cNvPr id="1030" name="Engineering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Client Owned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19</xdr:row>
          <xdr:rowOff>99060</xdr:rowOff>
        </xdr:from>
        <xdr:to>
          <xdr:col>9</xdr:col>
          <xdr:colOff>525780</xdr:colOff>
          <xdr:row>20</xdr:row>
          <xdr:rowOff>121920</xdr:rowOff>
        </xdr:to>
        <xdr:sp macro="" textlink="">
          <xdr:nvSpPr>
            <xdr:cNvPr id="1031" name="Engineering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83820</xdr:rowOff>
        </xdr:from>
        <xdr:to>
          <xdr:col>4</xdr:col>
          <xdr:colOff>7620</xdr:colOff>
          <xdr:row>22</xdr:row>
          <xdr:rowOff>121920</xdr:rowOff>
        </xdr:to>
        <xdr:sp macro="" textlink="">
          <xdr:nvSpPr>
            <xdr:cNvPr id="1032" name="Engineering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Engineering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502920</xdr:colOff>
          <xdr:row>21</xdr:row>
          <xdr:rowOff>106680</xdr:rowOff>
        </xdr:from>
        <xdr:to>
          <xdr:col>5</xdr:col>
          <xdr:colOff>30480</xdr:colOff>
          <xdr:row>22</xdr:row>
          <xdr:rowOff>121920</xdr:rowOff>
        </xdr:to>
        <xdr:sp macro="" textlink="">
          <xdr:nvSpPr>
            <xdr:cNvPr id="1034" name="Engineering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Fixture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160020</xdr:colOff>
          <xdr:row>21</xdr:row>
          <xdr:rowOff>83820</xdr:rowOff>
        </xdr:from>
        <xdr:to>
          <xdr:col>6</xdr:col>
          <xdr:colOff>259080</xdr:colOff>
          <xdr:row>22</xdr:row>
          <xdr:rowOff>121920</xdr:rowOff>
        </xdr:to>
        <xdr:sp macro="" textlink="">
          <xdr:nvSpPr>
            <xdr:cNvPr id="1035" name="Engineering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Tool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21</xdr:row>
          <xdr:rowOff>83820</xdr:rowOff>
        </xdr:from>
        <xdr:to>
          <xdr:col>7</xdr:col>
          <xdr:colOff>464820</xdr:colOff>
          <xdr:row>22</xdr:row>
          <xdr:rowOff>121920</xdr:rowOff>
        </xdr:to>
        <xdr:sp macro="" textlink="">
          <xdr:nvSpPr>
            <xdr:cNvPr id="1036" name="Engineering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Component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220980</xdr:colOff>
          <xdr:row>21</xdr:row>
          <xdr:rowOff>76200</xdr:rowOff>
        </xdr:from>
        <xdr:to>
          <xdr:col>9</xdr:col>
          <xdr:colOff>114300</xdr:colOff>
          <xdr:row>22</xdr:row>
          <xdr:rowOff>121920</xdr:rowOff>
        </xdr:to>
        <xdr:sp macro="" textlink="">
          <xdr:nvSpPr>
            <xdr:cNvPr id="1037" name="Engineering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25</xdr:row>
          <xdr:rowOff>83820</xdr:rowOff>
        </xdr:from>
        <xdr:to>
          <xdr:col>2</xdr:col>
          <xdr:colOff>518160</xdr:colOff>
          <xdr:row>26</xdr:row>
          <xdr:rowOff>106680</xdr:rowOff>
        </xdr:to>
        <xdr:sp macro="" textlink="">
          <xdr:nvSpPr>
            <xdr:cNvPr id="1039" name="Engineering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25</xdr:row>
          <xdr:rowOff>83820</xdr:rowOff>
        </xdr:from>
        <xdr:to>
          <xdr:col>3</xdr:col>
          <xdr:colOff>495300</xdr:colOff>
          <xdr:row>26</xdr:row>
          <xdr:rowOff>106680</xdr:rowOff>
        </xdr:to>
        <xdr:sp macro="" textlink="">
          <xdr:nvSpPr>
            <xdr:cNvPr id="1042" name="Engineering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</xdr:row>
          <xdr:rowOff>83820</xdr:rowOff>
        </xdr:from>
        <xdr:to>
          <xdr:col>11</xdr:col>
          <xdr:colOff>76200</xdr:colOff>
          <xdr:row>24</xdr:row>
          <xdr:rowOff>114300</xdr:rowOff>
        </xdr:to>
        <xdr:sp macro="" textlink="">
          <xdr:nvSpPr>
            <xdr:cNvPr id="1043" name="Engineering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83820</xdr:rowOff>
        </xdr:from>
        <xdr:to>
          <xdr:col>11</xdr:col>
          <xdr:colOff>441960</xdr:colOff>
          <xdr:row>24</xdr:row>
          <xdr:rowOff>114300</xdr:rowOff>
        </xdr:to>
        <xdr:sp macro="" textlink="">
          <xdr:nvSpPr>
            <xdr:cNvPr id="1046" name="Engineering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25</xdr:row>
          <xdr:rowOff>83820</xdr:rowOff>
        </xdr:from>
        <xdr:to>
          <xdr:col>11</xdr:col>
          <xdr:colOff>76200</xdr:colOff>
          <xdr:row>26</xdr:row>
          <xdr:rowOff>106680</xdr:rowOff>
        </xdr:to>
        <xdr:sp macro="" textlink="">
          <xdr:nvSpPr>
            <xdr:cNvPr id="1047" name="Engineering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83820</xdr:rowOff>
        </xdr:from>
        <xdr:to>
          <xdr:col>11</xdr:col>
          <xdr:colOff>441960</xdr:colOff>
          <xdr:row>26</xdr:row>
          <xdr:rowOff>106680</xdr:rowOff>
        </xdr:to>
        <xdr:sp macro="" textlink="">
          <xdr:nvSpPr>
            <xdr:cNvPr id="1048" name="Engineering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25</xdr:row>
          <xdr:rowOff>121920</xdr:rowOff>
        </xdr:from>
        <xdr:to>
          <xdr:col>6</xdr:col>
          <xdr:colOff>518160</xdr:colOff>
          <xdr:row>26</xdr:row>
          <xdr:rowOff>144780</xdr:rowOff>
        </xdr:to>
        <xdr:sp macro="" textlink="">
          <xdr:nvSpPr>
            <xdr:cNvPr id="1050" name="Engineering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25</xdr:row>
          <xdr:rowOff>121920</xdr:rowOff>
        </xdr:from>
        <xdr:to>
          <xdr:col>7</xdr:col>
          <xdr:colOff>381000</xdr:colOff>
          <xdr:row>26</xdr:row>
          <xdr:rowOff>144780</xdr:rowOff>
        </xdr:to>
        <xdr:sp macro="" textlink="">
          <xdr:nvSpPr>
            <xdr:cNvPr id="1052" name="Engineering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showWhiteSpace="0" view="pageBreakPreview" zoomScaleNormal="100" zoomScaleSheetLayoutView="100" zoomScalePageLayoutView="110" workbookViewId="0">
      <selection activeCell="A46" sqref="A46"/>
    </sheetView>
  </sheetViews>
  <sheetFormatPr defaultColWidth="8.44140625" defaultRowHeight="13.8" x14ac:dyDescent="0.25"/>
  <cols>
    <col min="1" max="1" width="9.44140625" style="1" customWidth="1"/>
    <col min="2" max="3" width="8.44140625" style="1"/>
    <col min="4" max="4" width="8.44140625" style="1" customWidth="1"/>
    <col min="5" max="5" width="8.44140625" style="1"/>
    <col min="6" max="6" width="7.33203125" style="1" customWidth="1"/>
    <col min="7" max="7" width="8.6640625" style="1" customWidth="1"/>
    <col min="8" max="8" width="8.88671875" style="1" customWidth="1"/>
    <col min="9" max="9" width="10.5546875" style="1" customWidth="1"/>
    <col min="10" max="10" width="9" style="1" customWidth="1"/>
    <col min="11" max="11" width="6.5546875" style="1" customWidth="1"/>
    <col min="12" max="12" width="7.6640625" style="1" customWidth="1"/>
    <col min="13" max="16384" width="8.44140625" style="1"/>
  </cols>
  <sheetData>
    <row r="1" spans="1:12" x14ac:dyDescent="0.25">
      <c r="A1" s="25" t="s">
        <v>0</v>
      </c>
      <c r="B1" s="26"/>
      <c r="C1" s="26"/>
      <c r="D1" s="27"/>
      <c r="E1" s="34" t="s">
        <v>1</v>
      </c>
      <c r="F1" s="17" t="s">
        <v>10</v>
      </c>
      <c r="G1" s="18"/>
      <c r="H1" s="21" t="s">
        <v>2</v>
      </c>
      <c r="I1" s="22"/>
      <c r="J1" s="13" t="s">
        <v>3</v>
      </c>
      <c r="K1" s="13"/>
      <c r="L1" s="14"/>
    </row>
    <row r="2" spans="1:12" ht="14.4" thickBot="1" x14ac:dyDescent="0.3">
      <c r="A2" s="28"/>
      <c r="B2" s="29"/>
      <c r="C2" s="29"/>
      <c r="D2" s="30"/>
      <c r="E2" s="35"/>
      <c r="F2" s="19"/>
      <c r="G2" s="20"/>
      <c r="H2" s="23"/>
      <c r="I2" s="24"/>
      <c r="J2" s="15"/>
      <c r="K2" s="15"/>
      <c r="L2" s="16"/>
    </row>
    <row r="3" spans="1:12" x14ac:dyDescent="0.25">
      <c r="A3" s="28"/>
      <c r="B3" s="29"/>
      <c r="C3" s="29"/>
      <c r="D3" s="30"/>
      <c r="E3" s="34" t="s">
        <v>11</v>
      </c>
      <c r="F3" s="17" t="s">
        <v>4</v>
      </c>
      <c r="G3" s="17"/>
      <c r="H3" s="17"/>
      <c r="I3" s="17"/>
      <c r="J3" s="17"/>
      <c r="K3" s="17"/>
      <c r="L3" s="18"/>
    </row>
    <row r="4" spans="1:12" ht="14.4" thickBot="1" x14ac:dyDescent="0.3">
      <c r="A4" s="31"/>
      <c r="B4" s="32"/>
      <c r="C4" s="32"/>
      <c r="D4" s="33"/>
      <c r="E4" s="35"/>
      <c r="F4" s="19"/>
      <c r="G4" s="19"/>
      <c r="H4" s="19"/>
      <c r="I4" s="19"/>
      <c r="J4" s="19"/>
      <c r="K4" s="19"/>
      <c r="L4" s="20"/>
    </row>
    <row r="5" spans="1:12" x14ac:dyDescent="0.25">
      <c r="A5" s="8" t="s">
        <v>12</v>
      </c>
      <c r="B5" s="6" t="s">
        <v>44</v>
      </c>
      <c r="C5" s="8" t="s">
        <v>5</v>
      </c>
      <c r="D5" s="6" t="s">
        <v>45</v>
      </c>
      <c r="E5" s="8" t="s">
        <v>6</v>
      </c>
      <c r="F5" s="6" t="s">
        <v>46</v>
      </c>
      <c r="G5" s="8" t="s">
        <v>7</v>
      </c>
      <c r="H5" s="6" t="s">
        <v>47</v>
      </c>
      <c r="I5" s="8" t="s">
        <v>8</v>
      </c>
      <c r="J5" s="6" t="s">
        <v>48</v>
      </c>
      <c r="K5" s="10" t="s">
        <v>9</v>
      </c>
      <c r="L5" s="12" t="s">
        <v>42</v>
      </c>
    </row>
    <row r="6" spans="1:12" ht="14.4" thickBot="1" x14ac:dyDescent="0.3">
      <c r="A6" s="9"/>
      <c r="B6" s="7"/>
      <c r="C6" s="9"/>
      <c r="D6" s="7"/>
      <c r="E6" s="9"/>
      <c r="F6" s="7"/>
      <c r="G6" s="9"/>
      <c r="H6" s="7"/>
      <c r="I6" s="9"/>
      <c r="J6" s="7"/>
      <c r="K6" s="11"/>
      <c r="L6" s="7"/>
    </row>
    <row r="7" spans="1:12" x14ac:dyDescent="0.25">
      <c r="A7" s="52" t="s">
        <v>13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4"/>
    </row>
    <row r="8" spans="1:12" ht="21" customHeight="1" x14ac:dyDescent="0.25">
      <c r="A8" s="55"/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ht="26.25" customHeight="1" thickBot="1" x14ac:dyDescent="0.3">
      <c r="A9" s="58" t="s">
        <v>14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ht="14.4" thickBot="1" x14ac:dyDescent="0.3">
      <c r="A10" s="34" t="s">
        <v>15</v>
      </c>
      <c r="B10" s="42"/>
      <c r="C10" s="61" t="s">
        <v>49</v>
      </c>
      <c r="D10" s="62"/>
      <c r="E10" s="40" t="s">
        <v>16</v>
      </c>
      <c r="F10" s="41"/>
      <c r="G10" s="69">
        <v>42185</v>
      </c>
      <c r="H10" s="39"/>
      <c r="I10" s="34" t="s">
        <v>18</v>
      </c>
      <c r="J10" s="42"/>
      <c r="K10" s="65" t="s">
        <v>49</v>
      </c>
      <c r="L10" s="66"/>
    </row>
    <row r="11" spans="1:12" ht="14.4" thickBot="1" x14ac:dyDescent="0.3">
      <c r="A11" s="35"/>
      <c r="B11" s="43"/>
      <c r="C11" s="63"/>
      <c r="D11" s="64"/>
      <c r="E11" s="36" t="s">
        <v>17</v>
      </c>
      <c r="F11" s="37"/>
      <c r="G11" s="38" t="s">
        <v>50</v>
      </c>
      <c r="H11" s="39"/>
      <c r="I11" s="35"/>
      <c r="J11" s="43"/>
      <c r="K11" s="67"/>
      <c r="L11" s="68"/>
    </row>
    <row r="12" spans="1:12" x14ac:dyDescent="0.25">
      <c r="A12" s="34" t="s">
        <v>19</v>
      </c>
      <c r="B12" s="42"/>
      <c r="C12" s="44" t="s">
        <v>54</v>
      </c>
      <c r="D12" s="45"/>
      <c r="E12" s="45"/>
      <c r="F12" s="45"/>
      <c r="G12" s="45"/>
      <c r="H12" s="45"/>
      <c r="I12" s="45"/>
      <c r="J12" s="45"/>
      <c r="K12" s="45"/>
      <c r="L12" s="46"/>
    </row>
    <row r="13" spans="1:12" ht="14.4" thickBot="1" x14ac:dyDescent="0.3">
      <c r="A13" s="35"/>
      <c r="B13" s="43"/>
      <c r="C13" s="47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25">
      <c r="A14" s="34" t="s">
        <v>20</v>
      </c>
      <c r="B14" s="42"/>
      <c r="C14" s="44" t="s">
        <v>55</v>
      </c>
      <c r="D14" s="45"/>
      <c r="E14" s="45"/>
      <c r="F14" s="45"/>
      <c r="G14" s="45"/>
      <c r="H14" s="46"/>
      <c r="I14" s="50" t="s">
        <v>23</v>
      </c>
      <c r="J14" s="44" t="s">
        <v>56</v>
      </c>
      <c r="K14" s="45"/>
      <c r="L14" s="46"/>
    </row>
    <row r="15" spans="1:12" ht="14.4" thickBot="1" x14ac:dyDescent="0.3">
      <c r="A15" s="35"/>
      <c r="B15" s="43"/>
      <c r="C15" s="47"/>
      <c r="D15" s="48"/>
      <c r="E15" s="48"/>
      <c r="F15" s="48"/>
      <c r="G15" s="48"/>
      <c r="H15" s="49"/>
      <c r="I15" s="51"/>
      <c r="J15" s="47"/>
      <c r="K15" s="48"/>
      <c r="L15" s="49"/>
    </row>
    <row r="16" spans="1:12" x14ac:dyDescent="0.25">
      <c r="A16" s="34" t="s">
        <v>21</v>
      </c>
      <c r="B16" s="42"/>
      <c r="C16" s="44"/>
      <c r="D16" s="45"/>
      <c r="E16" s="45"/>
      <c r="F16" s="45"/>
      <c r="G16" s="45"/>
      <c r="H16" s="46"/>
      <c r="I16" s="50" t="s">
        <v>24</v>
      </c>
      <c r="J16" s="44" t="s">
        <v>57</v>
      </c>
      <c r="K16" s="45"/>
      <c r="L16" s="46"/>
    </row>
    <row r="17" spans="1:12" ht="14.4" thickBot="1" x14ac:dyDescent="0.3">
      <c r="A17" s="35"/>
      <c r="B17" s="43"/>
      <c r="C17" s="47"/>
      <c r="D17" s="48"/>
      <c r="E17" s="48"/>
      <c r="F17" s="48"/>
      <c r="G17" s="48"/>
      <c r="H17" s="49"/>
      <c r="I17" s="51"/>
      <c r="J17" s="47"/>
      <c r="K17" s="48"/>
      <c r="L17" s="49"/>
    </row>
    <row r="18" spans="1:12" x14ac:dyDescent="0.25">
      <c r="A18" s="34" t="s">
        <v>22</v>
      </c>
      <c r="B18" s="42"/>
      <c r="C18" s="44" t="s">
        <v>51</v>
      </c>
      <c r="D18" s="45"/>
      <c r="E18" s="45"/>
      <c r="F18" s="46"/>
      <c r="G18" s="72" t="s">
        <v>25</v>
      </c>
      <c r="H18" s="73"/>
      <c r="I18" s="44" t="s">
        <v>52</v>
      </c>
      <c r="J18" s="45"/>
      <c r="K18" s="45"/>
      <c r="L18" s="46"/>
    </row>
    <row r="19" spans="1:12" ht="14.4" thickBot="1" x14ac:dyDescent="0.3">
      <c r="A19" s="35"/>
      <c r="B19" s="43"/>
      <c r="C19" s="47"/>
      <c r="D19" s="48"/>
      <c r="E19" s="48"/>
      <c r="F19" s="49"/>
      <c r="G19" s="74"/>
      <c r="H19" s="75"/>
      <c r="I19" s="47"/>
      <c r="J19" s="48"/>
      <c r="K19" s="48"/>
      <c r="L19" s="49"/>
    </row>
    <row r="20" spans="1:12" ht="15" customHeight="1" x14ac:dyDescent="0.25">
      <c r="A20" s="34" t="s">
        <v>26</v>
      </c>
      <c r="B20" s="42"/>
      <c r="C20" s="17"/>
      <c r="D20" s="17"/>
      <c r="E20" s="17"/>
      <c r="F20" s="17"/>
      <c r="G20" s="17"/>
      <c r="H20" s="17"/>
      <c r="I20" s="17"/>
      <c r="J20" s="17"/>
      <c r="K20" s="70"/>
      <c r="L20" s="66"/>
    </row>
    <row r="21" spans="1:12" ht="14.4" thickBot="1" x14ac:dyDescent="0.3">
      <c r="A21" s="35"/>
      <c r="B21" s="43"/>
      <c r="C21" s="19"/>
      <c r="D21" s="19"/>
      <c r="E21" s="19"/>
      <c r="F21" s="19"/>
      <c r="G21" s="19"/>
      <c r="H21" s="19"/>
      <c r="I21" s="19"/>
      <c r="J21" s="19"/>
      <c r="K21" s="71"/>
      <c r="L21" s="68"/>
    </row>
    <row r="22" spans="1:12" x14ac:dyDescent="0.25">
      <c r="A22" s="34" t="s">
        <v>27</v>
      </c>
      <c r="B22" s="42"/>
      <c r="C22" s="17"/>
      <c r="D22" s="17"/>
      <c r="E22" s="17"/>
      <c r="F22" s="17"/>
      <c r="G22" s="17"/>
      <c r="H22" s="17"/>
      <c r="I22" s="17"/>
      <c r="J22" s="17"/>
      <c r="K22" s="70"/>
      <c r="L22" s="66"/>
    </row>
    <row r="23" spans="1:12" ht="14.4" thickBot="1" x14ac:dyDescent="0.3">
      <c r="A23" s="35"/>
      <c r="B23" s="43"/>
      <c r="C23" s="19"/>
      <c r="D23" s="19"/>
      <c r="E23" s="19"/>
      <c r="F23" s="19"/>
      <c r="G23" s="19"/>
      <c r="H23" s="19"/>
      <c r="I23" s="19"/>
      <c r="J23" s="19"/>
      <c r="K23" s="71"/>
      <c r="L23" s="68"/>
    </row>
    <row r="24" spans="1:12" ht="14.25" customHeight="1" x14ac:dyDescent="0.25">
      <c r="A24" s="34" t="s">
        <v>28</v>
      </c>
      <c r="B24" s="42"/>
      <c r="C24" s="65" t="s">
        <v>53</v>
      </c>
      <c r="D24" s="66"/>
      <c r="E24" s="79" t="s">
        <v>30</v>
      </c>
      <c r="F24" s="80"/>
      <c r="G24" s="83"/>
      <c r="H24" s="84"/>
      <c r="I24" s="34" t="s">
        <v>31</v>
      </c>
      <c r="J24" s="42"/>
      <c r="K24" s="17"/>
      <c r="L24" s="18"/>
    </row>
    <row r="25" spans="1:12" ht="15" customHeight="1" thickBot="1" x14ac:dyDescent="0.3">
      <c r="A25" s="35"/>
      <c r="B25" s="43"/>
      <c r="C25" s="67"/>
      <c r="D25" s="68"/>
      <c r="E25" s="81"/>
      <c r="F25" s="82"/>
      <c r="G25" s="85"/>
      <c r="H25" s="86"/>
      <c r="I25" s="35"/>
      <c r="J25" s="43"/>
      <c r="K25" s="19"/>
      <c r="L25" s="20"/>
    </row>
    <row r="26" spans="1:12" ht="15" customHeight="1" x14ac:dyDescent="0.25">
      <c r="A26" s="34" t="s">
        <v>29</v>
      </c>
      <c r="B26" s="42"/>
      <c r="C26" s="17"/>
      <c r="D26" s="18"/>
      <c r="E26" s="87" t="s">
        <v>43</v>
      </c>
      <c r="F26" s="88"/>
      <c r="G26" s="91"/>
      <c r="H26" s="92"/>
      <c r="I26" s="34" t="s">
        <v>32</v>
      </c>
      <c r="J26" s="42"/>
      <c r="K26" s="17"/>
      <c r="L26" s="18"/>
    </row>
    <row r="27" spans="1:12" ht="23.25" customHeight="1" thickBot="1" x14ac:dyDescent="0.3">
      <c r="A27" s="35"/>
      <c r="B27" s="43"/>
      <c r="C27" s="19"/>
      <c r="D27" s="20"/>
      <c r="E27" s="89"/>
      <c r="F27" s="90"/>
      <c r="G27" s="93"/>
      <c r="H27" s="94"/>
      <c r="I27" s="35"/>
      <c r="J27" s="43"/>
      <c r="K27" s="19"/>
      <c r="L27" s="20"/>
    </row>
    <row r="28" spans="1:12" ht="19.5" customHeight="1" thickBot="1" x14ac:dyDescent="0.3">
      <c r="A28" s="2" t="s">
        <v>33</v>
      </c>
      <c r="B28" s="76" t="s">
        <v>34</v>
      </c>
      <c r="C28" s="77"/>
      <c r="D28" s="2" t="s">
        <v>35</v>
      </c>
      <c r="E28" s="2" t="s">
        <v>36</v>
      </c>
      <c r="F28" s="76" t="s">
        <v>37</v>
      </c>
      <c r="G28" s="78"/>
      <c r="H28" s="77"/>
      <c r="I28" s="76" t="s">
        <v>38</v>
      </c>
      <c r="J28" s="77"/>
      <c r="K28" s="76" t="s">
        <v>39</v>
      </c>
      <c r="L28" s="77"/>
    </row>
    <row r="29" spans="1:12" ht="18" customHeight="1" x14ac:dyDescent="0.25">
      <c r="A29" s="3">
        <v>10</v>
      </c>
      <c r="B29" s="120"/>
      <c r="C29" s="122"/>
      <c r="D29" s="3"/>
      <c r="E29" s="3">
        <v>1</v>
      </c>
      <c r="F29" s="120" t="s">
        <v>58</v>
      </c>
      <c r="G29" s="121"/>
      <c r="H29" s="122"/>
      <c r="I29" s="123">
        <v>49</v>
      </c>
      <c r="J29" s="124"/>
      <c r="K29" s="123">
        <f>I29*A29</f>
        <v>490</v>
      </c>
      <c r="L29" s="124"/>
    </row>
    <row r="30" spans="1:12" ht="18" customHeight="1" x14ac:dyDescent="0.25">
      <c r="A30" s="4"/>
      <c r="B30" s="114"/>
      <c r="C30" s="116"/>
      <c r="D30" s="4"/>
      <c r="E30" s="4"/>
      <c r="F30" s="114"/>
      <c r="G30" s="115"/>
      <c r="H30" s="116"/>
      <c r="I30" s="125"/>
      <c r="J30" s="126"/>
      <c r="K30" s="123">
        <f t="shared" ref="K30:K41" si="0">I30*A30</f>
        <v>0</v>
      </c>
      <c r="L30" s="124"/>
    </row>
    <row r="31" spans="1:12" ht="18" customHeight="1" x14ac:dyDescent="0.25">
      <c r="A31" s="4"/>
      <c r="B31" s="114"/>
      <c r="C31" s="116"/>
      <c r="D31" s="4"/>
      <c r="E31" s="4"/>
      <c r="F31" s="114"/>
      <c r="G31" s="115"/>
      <c r="H31" s="116"/>
      <c r="I31" s="125"/>
      <c r="J31" s="126"/>
      <c r="K31" s="123">
        <f t="shared" si="0"/>
        <v>0</v>
      </c>
      <c r="L31" s="124"/>
    </row>
    <row r="32" spans="1:12" ht="18" customHeight="1" x14ac:dyDescent="0.25">
      <c r="A32" s="4"/>
      <c r="B32" s="114"/>
      <c r="C32" s="116"/>
      <c r="D32" s="4"/>
      <c r="E32" s="4"/>
      <c r="F32" s="114"/>
      <c r="G32" s="115"/>
      <c r="H32" s="116"/>
      <c r="I32" s="125"/>
      <c r="J32" s="126"/>
      <c r="K32" s="123">
        <f t="shared" si="0"/>
        <v>0</v>
      </c>
      <c r="L32" s="124"/>
    </row>
    <row r="33" spans="1:12" ht="18" customHeight="1" x14ac:dyDescent="0.25">
      <c r="A33" s="4"/>
      <c r="B33" s="114"/>
      <c r="C33" s="116"/>
      <c r="D33" s="4"/>
      <c r="E33" s="4"/>
      <c r="F33" s="114"/>
      <c r="G33" s="115"/>
      <c r="H33" s="116"/>
      <c r="I33" s="125"/>
      <c r="J33" s="126"/>
      <c r="K33" s="123">
        <f t="shared" si="0"/>
        <v>0</v>
      </c>
      <c r="L33" s="124"/>
    </row>
    <row r="34" spans="1:12" ht="18" customHeight="1" x14ac:dyDescent="0.25">
      <c r="A34" s="4"/>
      <c r="B34" s="114"/>
      <c r="C34" s="116"/>
      <c r="D34" s="4"/>
      <c r="E34" s="4"/>
      <c r="F34" s="114"/>
      <c r="G34" s="115"/>
      <c r="H34" s="116"/>
      <c r="I34" s="125"/>
      <c r="J34" s="126"/>
      <c r="K34" s="123">
        <f t="shared" si="0"/>
        <v>0</v>
      </c>
      <c r="L34" s="124"/>
    </row>
    <row r="35" spans="1:12" ht="18" customHeight="1" x14ac:dyDescent="0.25">
      <c r="A35" s="4"/>
      <c r="B35" s="114"/>
      <c r="C35" s="116"/>
      <c r="D35" s="4"/>
      <c r="E35" s="4"/>
      <c r="F35" s="114"/>
      <c r="G35" s="115"/>
      <c r="H35" s="116"/>
      <c r="I35" s="125"/>
      <c r="J35" s="126"/>
      <c r="K35" s="123">
        <f t="shared" si="0"/>
        <v>0</v>
      </c>
      <c r="L35" s="124"/>
    </row>
    <row r="36" spans="1:12" ht="18" customHeight="1" x14ac:dyDescent="0.25">
      <c r="A36" s="4"/>
      <c r="B36" s="114"/>
      <c r="C36" s="116"/>
      <c r="D36" s="4"/>
      <c r="E36" s="4"/>
      <c r="F36" s="114"/>
      <c r="G36" s="115"/>
      <c r="H36" s="116"/>
      <c r="I36" s="125"/>
      <c r="J36" s="126"/>
      <c r="K36" s="123">
        <f t="shared" si="0"/>
        <v>0</v>
      </c>
      <c r="L36" s="124"/>
    </row>
    <row r="37" spans="1:12" ht="18" customHeight="1" x14ac:dyDescent="0.25">
      <c r="A37" s="4"/>
      <c r="B37" s="114"/>
      <c r="C37" s="116"/>
      <c r="D37" s="4"/>
      <c r="E37" s="4"/>
      <c r="F37" s="114"/>
      <c r="G37" s="115"/>
      <c r="H37" s="116"/>
      <c r="I37" s="125"/>
      <c r="J37" s="126"/>
      <c r="K37" s="123">
        <f t="shared" si="0"/>
        <v>0</v>
      </c>
      <c r="L37" s="124"/>
    </row>
    <row r="38" spans="1:12" ht="18" customHeight="1" x14ac:dyDescent="0.25">
      <c r="A38" s="4"/>
      <c r="B38" s="114"/>
      <c r="C38" s="116"/>
      <c r="D38" s="4"/>
      <c r="E38" s="4"/>
      <c r="F38" s="114"/>
      <c r="G38" s="115"/>
      <c r="H38" s="116"/>
      <c r="I38" s="125"/>
      <c r="J38" s="126"/>
      <c r="K38" s="123">
        <f t="shared" si="0"/>
        <v>0</v>
      </c>
      <c r="L38" s="124"/>
    </row>
    <row r="39" spans="1:12" ht="18" customHeight="1" x14ac:dyDescent="0.25">
      <c r="A39" s="4"/>
      <c r="B39" s="114"/>
      <c r="C39" s="116"/>
      <c r="D39" s="4"/>
      <c r="E39" s="4"/>
      <c r="F39" s="114"/>
      <c r="G39" s="115"/>
      <c r="H39" s="116"/>
      <c r="I39" s="125"/>
      <c r="J39" s="126"/>
      <c r="K39" s="123">
        <f t="shared" si="0"/>
        <v>0</v>
      </c>
      <c r="L39" s="124"/>
    </row>
    <row r="40" spans="1:12" ht="18" customHeight="1" x14ac:dyDescent="0.25">
      <c r="A40" s="4"/>
      <c r="B40" s="114"/>
      <c r="C40" s="116"/>
      <c r="D40" s="4"/>
      <c r="E40" s="4"/>
      <c r="F40" s="114"/>
      <c r="G40" s="115"/>
      <c r="H40" s="116"/>
      <c r="I40" s="125"/>
      <c r="J40" s="126"/>
      <c r="K40" s="123">
        <f t="shared" si="0"/>
        <v>0</v>
      </c>
      <c r="L40" s="124"/>
    </row>
    <row r="41" spans="1:12" ht="18" customHeight="1" thickBot="1" x14ac:dyDescent="0.3">
      <c r="A41" s="5"/>
      <c r="B41" s="117"/>
      <c r="C41" s="119"/>
      <c r="D41" s="5"/>
      <c r="E41" s="5"/>
      <c r="F41" s="117"/>
      <c r="G41" s="118"/>
      <c r="H41" s="119"/>
      <c r="I41" s="129"/>
      <c r="J41" s="130"/>
      <c r="K41" s="123">
        <f t="shared" si="0"/>
        <v>0</v>
      </c>
      <c r="L41" s="124"/>
    </row>
    <row r="42" spans="1:12" ht="18" customHeight="1" x14ac:dyDescent="0.25">
      <c r="A42" s="105" t="s">
        <v>59</v>
      </c>
      <c r="B42" s="106"/>
      <c r="C42" s="106"/>
      <c r="D42" s="106"/>
      <c r="E42" s="106"/>
      <c r="F42" s="106"/>
      <c r="G42" s="106"/>
      <c r="H42" s="106"/>
      <c r="I42" s="107"/>
      <c r="J42" s="127" t="s">
        <v>41</v>
      </c>
      <c r="K42" s="99">
        <f>SUM(K29:L41)</f>
        <v>490</v>
      </c>
      <c r="L42" s="100"/>
    </row>
    <row r="43" spans="1:12" ht="18" customHeight="1" thickBot="1" x14ac:dyDescent="0.3">
      <c r="A43" s="108"/>
      <c r="B43" s="109"/>
      <c r="C43" s="109"/>
      <c r="D43" s="109"/>
      <c r="E43" s="109"/>
      <c r="F43" s="109"/>
      <c r="G43" s="109"/>
      <c r="H43" s="109"/>
      <c r="I43" s="110"/>
      <c r="J43" s="128"/>
      <c r="K43" s="101"/>
      <c r="L43" s="102"/>
    </row>
    <row r="44" spans="1:12" ht="18" customHeight="1" x14ac:dyDescent="0.25">
      <c r="A44" s="108"/>
      <c r="B44" s="109"/>
      <c r="C44" s="109"/>
      <c r="D44" s="109"/>
      <c r="E44" s="109"/>
      <c r="F44" s="109"/>
      <c r="G44" s="109"/>
      <c r="H44" s="109"/>
      <c r="I44" s="110"/>
      <c r="J44" s="103" t="s">
        <v>40</v>
      </c>
      <c r="K44" s="95"/>
      <c r="L44" s="96"/>
    </row>
    <row r="45" spans="1:12" ht="18" customHeight="1" thickBot="1" x14ac:dyDescent="0.3">
      <c r="A45" s="111"/>
      <c r="B45" s="112"/>
      <c r="C45" s="112"/>
      <c r="D45" s="112"/>
      <c r="E45" s="112"/>
      <c r="F45" s="112"/>
      <c r="G45" s="112"/>
      <c r="H45" s="112"/>
      <c r="I45" s="113"/>
      <c r="J45" s="104"/>
      <c r="K45" s="97"/>
      <c r="L45" s="98"/>
    </row>
    <row r="46" spans="1:12" ht="18" customHeight="1" x14ac:dyDescent="0.25"/>
    <row r="47" spans="1:12" ht="14.25" customHeight="1" x14ac:dyDescent="0.25"/>
    <row r="48" spans="1:1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</sheetData>
  <mergeCells count="122">
    <mergeCell ref="J42:J43"/>
    <mergeCell ref="K37:L37"/>
    <mergeCell ref="K38:L38"/>
    <mergeCell ref="K39:L39"/>
    <mergeCell ref="K40:L40"/>
    <mergeCell ref="K41:L41"/>
    <mergeCell ref="I40:J40"/>
    <mergeCell ref="I41:J41"/>
    <mergeCell ref="I37:J37"/>
    <mergeCell ref="I38:J38"/>
    <mergeCell ref="I39:J39"/>
    <mergeCell ref="B39:C39"/>
    <mergeCell ref="B29:C29"/>
    <mergeCell ref="B30:C30"/>
    <mergeCell ref="B31:C31"/>
    <mergeCell ref="B32:C32"/>
    <mergeCell ref="B33:C33"/>
    <mergeCell ref="B34:C34"/>
    <mergeCell ref="K29:L29"/>
    <mergeCell ref="K30:L30"/>
    <mergeCell ref="K31:L31"/>
    <mergeCell ref="K32:L32"/>
    <mergeCell ref="K33:L33"/>
    <mergeCell ref="K34:L34"/>
    <mergeCell ref="K35:L35"/>
    <mergeCell ref="K36:L36"/>
    <mergeCell ref="I35:J35"/>
    <mergeCell ref="I36:J36"/>
    <mergeCell ref="I29:J29"/>
    <mergeCell ref="I30:J30"/>
    <mergeCell ref="I31:J31"/>
    <mergeCell ref="I32:J32"/>
    <mergeCell ref="I33:J33"/>
    <mergeCell ref="I34:J34"/>
    <mergeCell ref="K44:L45"/>
    <mergeCell ref="K42:L43"/>
    <mergeCell ref="J44:J45"/>
    <mergeCell ref="A42:I45"/>
    <mergeCell ref="I26:J27"/>
    <mergeCell ref="F37:H37"/>
    <mergeCell ref="F38:H38"/>
    <mergeCell ref="F39:H39"/>
    <mergeCell ref="F40:H40"/>
    <mergeCell ref="F41:H41"/>
    <mergeCell ref="B40:C40"/>
    <mergeCell ref="B41:C41"/>
    <mergeCell ref="F29:H29"/>
    <mergeCell ref="F30:H30"/>
    <mergeCell ref="F31:H31"/>
    <mergeCell ref="F32:H32"/>
    <mergeCell ref="F33:H33"/>
    <mergeCell ref="F34:H34"/>
    <mergeCell ref="F35:H35"/>
    <mergeCell ref="F36:H36"/>
    <mergeCell ref="B35:C35"/>
    <mergeCell ref="B36:C36"/>
    <mergeCell ref="B37:C37"/>
    <mergeCell ref="B38:C38"/>
    <mergeCell ref="K24:L25"/>
    <mergeCell ref="K26:L27"/>
    <mergeCell ref="B28:C28"/>
    <mergeCell ref="F28:H28"/>
    <mergeCell ref="I28:J28"/>
    <mergeCell ref="K28:L28"/>
    <mergeCell ref="A22:B23"/>
    <mergeCell ref="C22:J23"/>
    <mergeCell ref="K22:L23"/>
    <mergeCell ref="A24:B25"/>
    <mergeCell ref="C24:D25"/>
    <mergeCell ref="A26:B27"/>
    <mergeCell ref="C26:D27"/>
    <mergeCell ref="I24:J25"/>
    <mergeCell ref="E24:F25"/>
    <mergeCell ref="G24:H25"/>
    <mergeCell ref="E26:F27"/>
    <mergeCell ref="G26:H27"/>
    <mergeCell ref="I16:I17"/>
    <mergeCell ref="J14:L15"/>
    <mergeCell ref="J16:L17"/>
    <mergeCell ref="I18:L19"/>
    <mergeCell ref="A20:B21"/>
    <mergeCell ref="C20:J21"/>
    <mergeCell ref="K20:L21"/>
    <mergeCell ref="A16:B17"/>
    <mergeCell ref="A18:B19"/>
    <mergeCell ref="C14:H15"/>
    <mergeCell ref="C16:H17"/>
    <mergeCell ref="C18:F19"/>
    <mergeCell ref="G18:H19"/>
    <mergeCell ref="E11:F11"/>
    <mergeCell ref="G11:H11"/>
    <mergeCell ref="E10:F10"/>
    <mergeCell ref="A12:B13"/>
    <mergeCell ref="C12:L13"/>
    <mergeCell ref="A14:B15"/>
    <mergeCell ref="I14:I15"/>
    <mergeCell ref="A7:L8"/>
    <mergeCell ref="A9:L9"/>
    <mergeCell ref="A10:B11"/>
    <mergeCell ref="C10:D11"/>
    <mergeCell ref="I10:J11"/>
    <mergeCell ref="K10:L11"/>
    <mergeCell ref="G10:H10"/>
    <mergeCell ref="H5:H6"/>
    <mergeCell ref="I5:I6"/>
    <mergeCell ref="J5:J6"/>
    <mergeCell ref="K5:K6"/>
    <mergeCell ref="L5:L6"/>
    <mergeCell ref="J1:L2"/>
    <mergeCell ref="F3:L4"/>
    <mergeCell ref="H1:I2"/>
    <mergeCell ref="A5:A6"/>
    <mergeCell ref="B5:B6"/>
    <mergeCell ref="C5:C6"/>
    <mergeCell ref="D5:D6"/>
    <mergeCell ref="E5:E6"/>
    <mergeCell ref="F5:F6"/>
    <mergeCell ref="G5:G6"/>
    <mergeCell ref="A1:D4"/>
    <mergeCell ref="E1:E2"/>
    <mergeCell ref="E3:E4"/>
    <mergeCell ref="F1:G2"/>
  </mergeCells>
  <pageMargins left="0.25" right="0.25" top="0.33333333333333331" bottom="0.312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Engineering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3</xdr:col>
                    <xdr:colOff>297180</xdr:colOff>
                    <xdr:row>20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Engineering">
              <controlPr defaultSize="0" autoFill="0" autoLine="0" autoPict="0">
                <anchor moveWithCells="1">
                  <from>
                    <xdr:col>3</xdr:col>
                    <xdr:colOff>502920</xdr:colOff>
                    <xdr:row>19</xdr:row>
                    <xdr:rowOff>106680</xdr:rowOff>
                  </from>
                  <to>
                    <xdr:col>5</xdr:col>
                    <xdr:colOff>99060</xdr:colOff>
                    <xdr:row>20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Engineering">
              <controlPr defaultSize="0" autoFill="0" autoLine="0" autoPict="0">
                <anchor moveWithCells="1">
                  <from>
                    <xdr:col>5</xdr:col>
                    <xdr:colOff>152400</xdr:colOff>
                    <xdr:row>19</xdr:row>
                    <xdr:rowOff>99060</xdr:rowOff>
                  </from>
                  <to>
                    <xdr:col>6</xdr:col>
                    <xdr:colOff>251460</xdr:colOff>
                    <xdr:row>20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Engineering">
              <controlPr defaultSize="0" autoFill="0" autoLine="0" autoPict="0">
                <anchor moveWithCells="1">
                  <from>
                    <xdr:col>6</xdr:col>
                    <xdr:colOff>274320</xdr:colOff>
                    <xdr:row>19</xdr:row>
                    <xdr:rowOff>99060</xdr:rowOff>
                  </from>
                  <to>
                    <xdr:col>7</xdr:col>
                    <xdr:colOff>533400</xdr:colOff>
                    <xdr:row>20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Engineering">
              <controlPr defaultSize="0" autoFill="0" autoLine="0" autoPict="0">
                <anchor moveWithCells="1">
                  <from>
                    <xdr:col>8</xdr:col>
                    <xdr:colOff>213360</xdr:colOff>
                    <xdr:row>19</xdr:row>
                    <xdr:rowOff>99060</xdr:rowOff>
                  </from>
                  <to>
                    <xdr:col>9</xdr:col>
                    <xdr:colOff>525780</xdr:colOff>
                    <xdr:row>20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Engineering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83820</xdr:rowOff>
                  </from>
                  <to>
                    <xdr:col>4</xdr:col>
                    <xdr:colOff>7620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Engineering">
              <controlPr defaultSize="0" autoFill="0" autoLine="0" autoPict="0">
                <anchor moveWithCells="1">
                  <from>
                    <xdr:col>3</xdr:col>
                    <xdr:colOff>502920</xdr:colOff>
                    <xdr:row>21</xdr:row>
                    <xdr:rowOff>106680</xdr:rowOff>
                  </from>
                  <to>
                    <xdr:col>5</xdr:col>
                    <xdr:colOff>30480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Engineering">
              <controlPr defaultSize="0" autoFill="0" autoLine="0" autoPict="0">
                <anchor moveWithCells="1">
                  <from>
                    <xdr:col>5</xdr:col>
                    <xdr:colOff>160020</xdr:colOff>
                    <xdr:row>21</xdr:row>
                    <xdr:rowOff>83820</xdr:rowOff>
                  </from>
                  <to>
                    <xdr:col>6</xdr:col>
                    <xdr:colOff>259080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Engineering">
              <controlPr defaultSize="0" autoFill="0" autoLine="0" autoPict="0">
                <anchor moveWithCells="1">
                  <from>
                    <xdr:col>6</xdr:col>
                    <xdr:colOff>289560</xdr:colOff>
                    <xdr:row>21</xdr:row>
                    <xdr:rowOff>83820</xdr:rowOff>
                  </from>
                  <to>
                    <xdr:col>7</xdr:col>
                    <xdr:colOff>464820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Engineering">
              <controlPr defaultSize="0" autoFill="0" autoLine="0" autoPict="0">
                <anchor moveWithCells="1">
                  <from>
                    <xdr:col>8</xdr:col>
                    <xdr:colOff>220980</xdr:colOff>
                    <xdr:row>21</xdr:row>
                    <xdr:rowOff>76200</xdr:rowOff>
                  </from>
                  <to>
                    <xdr:col>9</xdr:col>
                    <xdr:colOff>114300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Engineering">
              <controlPr defaultSize="0" autoFill="0" autoLine="0" autoPict="0">
                <anchor moveWithCells="1">
                  <from>
                    <xdr:col>2</xdr:col>
                    <xdr:colOff>38100</xdr:colOff>
                    <xdr:row>25</xdr:row>
                    <xdr:rowOff>83820</xdr:rowOff>
                  </from>
                  <to>
                    <xdr:col>2</xdr:col>
                    <xdr:colOff>518160</xdr:colOff>
                    <xdr:row>26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Engineering">
              <controlPr defaultSize="0" autoFill="0" autoLine="0" autoPict="0">
                <anchor moveWithCells="1">
                  <from>
                    <xdr:col>3</xdr:col>
                    <xdr:colOff>22860</xdr:colOff>
                    <xdr:row>25</xdr:row>
                    <xdr:rowOff>83820</xdr:rowOff>
                  </from>
                  <to>
                    <xdr:col>3</xdr:col>
                    <xdr:colOff>495300</xdr:colOff>
                    <xdr:row>26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Engineering">
              <controlPr defaultSize="0" autoFill="0" autoLine="0" autoPict="0">
                <anchor moveWithCells="1">
                  <from>
                    <xdr:col>10</xdr:col>
                    <xdr:colOff>38100</xdr:colOff>
                    <xdr:row>23</xdr:row>
                    <xdr:rowOff>83820</xdr:rowOff>
                  </from>
                  <to>
                    <xdr:col>11</xdr:col>
                    <xdr:colOff>76200</xdr:colOff>
                    <xdr:row>24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Engineering">
              <controlPr defaultSize="0" autoFill="0" autoLine="0" autoPict="0">
                <anchor moveWithCells="1">
                  <from>
                    <xdr:col>11</xdr:col>
                    <xdr:colOff>0</xdr:colOff>
                    <xdr:row>23</xdr:row>
                    <xdr:rowOff>83820</xdr:rowOff>
                  </from>
                  <to>
                    <xdr:col>11</xdr:col>
                    <xdr:colOff>441960</xdr:colOff>
                    <xdr:row>24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8" name="Engineering">
              <controlPr defaultSize="0" autoFill="0" autoLine="0" autoPict="0">
                <anchor moveWithCells="1">
                  <from>
                    <xdr:col>10</xdr:col>
                    <xdr:colOff>38100</xdr:colOff>
                    <xdr:row>25</xdr:row>
                    <xdr:rowOff>83820</xdr:rowOff>
                  </from>
                  <to>
                    <xdr:col>11</xdr:col>
                    <xdr:colOff>76200</xdr:colOff>
                    <xdr:row>26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9" name="Engineering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83820</xdr:rowOff>
                  </from>
                  <to>
                    <xdr:col>11</xdr:col>
                    <xdr:colOff>441960</xdr:colOff>
                    <xdr:row>26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Engineering">
              <controlPr defaultSize="0" autoFill="0" autoLine="0" autoPict="0">
                <anchor moveWithCells="1">
                  <from>
                    <xdr:col>6</xdr:col>
                    <xdr:colOff>38100</xdr:colOff>
                    <xdr:row>25</xdr:row>
                    <xdr:rowOff>121920</xdr:rowOff>
                  </from>
                  <to>
                    <xdr:col>6</xdr:col>
                    <xdr:colOff>518160</xdr:colOff>
                    <xdr:row>26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1" name="Engineering">
              <controlPr defaultSize="0" autoFill="0" autoLine="0" autoPict="0">
                <anchor moveWithCells="1">
                  <from>
                    <xdr:col>6</xdr:col>
                    <xdr:colOff>525780</xdr:colOff>
                    <xdr:row>25</xdr:row>
                    <xdr:rowOff>121920</xdr:rowOff>
                  </from>
                  <to>
                    <xdr:col>7</xdr:col>
                    <xdr:colOff>381000</xdr:colOff>
                    <xdr:row>26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S Barber</dc:creator>
  <cp:lastModifiedBy>Vaughn Staples</cp:lastModifiedBy>
  <dcterms:created xsi:type="dcterms:W3CDTF">2015-06-02T14:18:25Z</dcterms:created>
  <dcterms:modified xsi:type="dcterms:W3CDTF">2026-03-30T15:24:48Z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vision">
    <vt:lpwstr>A</vt:lpwstr>
  </property>
</Properties>
</file>
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a5933822faaa4bf/Staples/Engineering/HUD Projects/projectHUD-landing/projectHUD-landing/handoffs/"/>
    </mc:Choice>
  </mc:AlternateContent>
  <xr:revisionPtr revIDLastSave="0" documentId="8_{2BF3E5AE-D95A-4B2E-89EC-3AA0E855F899}" xr6:coauthVersionLast="47" xr6:coauthVersionMax="47" xr10:uidLastSave="{00000000-0000-0000-0000-000000000000}"/>
  <bookViews>
    <workbookView xWindow="-28920" yWindow="210" windowWidth="29040" windowHeight="15720" xr2:uid="{E0D8FB35-729E-42FD-8CD7-200F6C66D7A5}"/>
  </bookViews>
  <sheets>
    <sheet name="Risk Register " sheetId="1" r:id="rId1"/>
  </sheets>
  <externalReferences>
    <externalReference r:id="rId2"/>
  </externalReferences>
  <definedNames>
    <definedName name="_1_1A" localSheetId="0">#REF!</definedName>
    <definedName name="_1_1A">#REF!</definedName>
    <definedName name="_2_2A" localSheetId="0">#REF!</definedName>
    <definedName name="_2_2A">#REF!</definedName>
    <definedName name="_3_3A" localSheetId="0">#REF!</definedName>
    <definedName name="_3_3A">#REF!</definedName>
    <definedName name="_4NETC_D" localSheetId="0">#REF!</definedName>
    <definedName name="_4NETC_D">#REF!</definedName>
    <definedName name="_xlnm._FilterDatabase" localSheetId="0" hidden="1">'Risk Register '!$A$8:$AY$16</definedName>
    <definedName name="Brett" localSheetId="0">#REF!</definedName>
    <definedName name="Brett">#REF!</definedName>
    <definedName name="Cli" localSheetId="0">#REF!</definedName>
    <definedName name="Cli">#REF!</definedName>
    <definedName name="CUMCF" localSheetId="0">#REF!</definedName>
    <definedName name="CUMCF">#REF!</definedName>
    <definedName name="DELAY" localSheetId="0">#REF!</definedName>
    <definedName name="DELAY">#REF!</definedName>
    <definedName name="DISCRATE" localSheetId="0">#REF!</definedName>
    <definedName name="DISCRATE">#REF!</definedName>
    <definedName name="FLOWS" localSheetId="0">#REF!</definedName>
    <definedName name="FLOWS">#REF!</definedName>
    <definedName name="FVRV" localSheetId="0">#REF!</definedName>
    <definedName name="FVRV">#REF!</definedName>
    <definedName name="FVRVCF" localSheetId="0">#REF!</definedName>
    <definedName name="FVRVCF">#REF!</definedName>
    <definedName name="INITIAL" localSheetId="0">#REF!</definedName>
    <definedName name="INITIAL">#REF!</definedName>
    <definedName name="INVEST" localSheetId="0">#REF!</definedName>
    <definedName name="INVEST">#REF!</definedName>
    <definedName name="IRR" localSheetId="0">#REF!</definedName>
    <definedName name="IRR">#REF!</definedName>
    <definedName name="MIXED" localSheetId="0">#REF!</definedName>
    <definedName name="MIXED">#REF!</definedName>
    <definedName name="NETPV" localSheetId="0">#REF!</definedName>
    <definedName name="NETPV">#REF!</definedName>
    <definedName name="NPV" localSheetId="0">#REF!</definedName>
    <definedName name="NPV">#REF!</definedName>
    <definedName name="Page1" localSheetId="0">#REF!</definedName>
    <definedName name="Page1">#REF!</definedName>
    <definedName name="PGR" localSheetId="0">#REF!</definedName>
    <definedName name="PGR">#REF!</definedName>
    <definedName name="PRICE" localSheetId="0">#REF!</definedName>
    <definedName name="PRICE">#REF!</definedName>
    <definedName name="_xlnm.Print_Area" localSheetId="0">'Risk Register '!$A$1:$U$23</definedName>
    <definedName name="PVRV" localSheetId="0">#REF!</definedName>
    <definedName name="PVRV">#REF!</definedName>
    <definedName name="Reg" localSheetId="0">#REF!</definedName>
    <definedName name="Reg">#REF!</definedName>
    <definedName name="TVALUE" localSheetId="0">#REF!</definedName>
    <definedName name="TVALU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3" i="1" l="1"/>
  <c r="K23" i="1"/>
  <c r="O21" i="1"/>
  <c r="N21" i="1"/>
  <c r="L21" i="1"/>
  <c r="K21" i="1"/>
  <c r="N20" i="1"/>
  <c r="L20" i="1"/>
  <c r="K20" i="1"/>
  <c r="I20" i="1"/>
  <c r="O20" i="1" s="1"/>
  <c r="O19" i="1"/>
  <c r="N19" i="1"/>
  <c r="L19" i="1"/>
  <c r="K19" i="1"/>
  <c r="O18" i="1"/>
  <c r="N18" i="1"/>
  <c r="L18" i="1"/>
  <c r="K18" i="1"/>
  <c r="N17" i="1"/>
  <c r="L17" i="1"/>
  <c r="K17" i="1"/>
  <c r="I17" i="1"/>
  <c r="O17" i="1" s="1"/>
  <c r="N16" i="1"/>
  <c r="K16" i="1"/>
  <c r="I16" i="1"/>
  <c r="N15" i="1"/>
  <c r="K15" i="1"/>
  <c r="I15" i="1"/>
  <c r="O14" i="1"/>
  <c r="N14" i="1"/>
  <c r="L14" i="1"/>
  <c r="K14" i="1"/>
  <c r="N13" i="1"/>
  <c r="K13" i="1"/>
  <c r="I13" i="1"/>
  <c r="N12" i="1"/>
  <c r="K12" i="1"/>
  <c r="I12" i="1"/>
  <c r="O11" i="1"/>
  <c r="N11" i="1"/>
  <c r="L11" i="1"/>
  <c r="K11" i="1"/>
  <c r="O10" i="1"/>
  <c r="N10" i="1"/>
  <c r="L10" i="1"/>
  <c r="K10" i="1"/>
  <c r="O9" i="1"/>
  <c r="N9" i="1"/>
  <c r="L9" i="1"/>
  <c r="K9" i="1"/>
  <c r="C3" i="1"/>
  <c r="C1" i="1"/>
  <c r="O16" i="1" l="1"/>
  <c r="L16" i="1"/>
  <c r="O15" i="1"/>
  <c r="L15" i="1"/>
  <c r="O13" i="1"/>
  <c r="L13" i="1"/>
  <c r="O12" i="1"/>
  <c r="L12" i="1"/>
  <c r="O23" i="1" l="1"/>
  <c r="L23" i="1"/>
</calcChain>
</file>

<file path=xl/sharedStrings.xml><?xml version="1.0" encoding="utf-8"?>
<sst xmlns="http://schemas.openxmlformats.org/spreadsheetml/2006/main" count="127" uniqueCount="74">
  <si>
    <t>Project</t>
  </si>
  <si>
    <t>Project Manager</t>
  </si>
  <si>
    <t>Ed Ampuero</t>
  </si>
  <si>
    <t>Next Business Milestone</t>
  </si>
  <si>
    <t>Target Date</t>
  </si>
  <si>
    <t>Initial</t>
  </si>
  <si>
    <t>Residual</t>
  </si>
  <si>
    <t>Risk Number</t>
  </si>
  <si>
    <t>Date Initiated</t>
  </si>
  <si>
    <t>Risk Description</t>
  </si>
  <si>
    <t>Risk Type</t>
  </si>
  <si>
    <t>Originator</t>
  </si>
  <si>
    <t>Risk Owner</t>
  </si>
  <si>
    <t>First Milestone Impacted</t>
  </si>
  <si>
    <t>Phase Duration Change</t>
  </si>
  <si>
    <t>Phase Cost Change</t>
  </si>
  <si>
    <t>Initial Probability</t>
  </si>
  <si>
    <t>Phase Duration Change (Weighted)</t>
  </si>
  <si>
    <t>Phase Cost Change (Weighted)</t>
  </si>
  <si>
    <t>Mitigated Probability</t>
  </si>
  <si>
    <t>Proposed Mitigation</t>
  </si>
  <si>
    <t>Mitigation Owner</t>
  </si>
  <si>
    <t>Cost of Actions ($)
(Difference to Budget)</t>
  </si>
  <si>
    <t>Mitigation Target Date</t>
  </si>
  <si>
    <t>Current Mitigation Status</t>
  </si>
  <si>
    <t>Comments</t>
  </si>
  <si>
    <t>&lt;5% = 1
&gt;5%&lt;25% = 3
&gt;25% = 9</t>
  </si>
  <si>
    <t>Risk Types</t>
  </si>
  <si>
    <t>Device design to achieve cost target makes it difficult to disinfect/resterilize</t>
  </si>
  <si>
    <t>Sterilization/Biocomp Risk</t>
  </si>
  <si>
    <t>Ed</t>
  </si>
  <si>
    <t>Alex</t>
  </si>
  <si>
    <t>Feasibility Verification Testing Complete</t>
  </si>
  <si>
    <t>Updated probability to reflect endoscope design</t>
  </si>
  <si>
    <t>Design Risk</t>
  </si>
  <si>
    <t>Leadtime/availability of optical components resulting in delay</t>
  </si>
  <si>
    <t>Supplier Risk</t>
  </si>
  <si>
    <t>None Approved: 
- Determine alternate test configurations to proceed without full camera components.
- Consider alternate vendor</t>
  </si>
  <si>
    <t>Tracking</t>
  </si>
  <si>
    <t>Shifted to Feasibility Verification Testing. Camera was off-scoped from Proof of Concept Phase</t>
  </si>
  <si>
    <t>Regulatory Risk</t>
  </si>
  <si>
    <t>Device design to achieve cost target not aligned with previous IP assessment</t>
  </si>
  <si>
    <t>IP Risk</t>
  </si>
  <si>
    <t>End of Proof of Concept Phase (TMs drafted)</t>
  </si>
  <si>
    <t>Design reviews with IP advisor scheduled as needed</t>
  </si>
  <si>
    <t>Removed risk, was 3 months/$225k. Proof of Concept COGS Assessment inline with targets</t>
  </si>
  <si>
    <t>Optical vendor not qualified for long term production resulting in new vendor at Transfer Phase</t>
  </si>
  <si>
    <t>Complete Transfer Phase</t>
  </si>
  <si>
    <t>Request new SOW from camera vendor and mid-May deliverable</t>
  </si>
  <si>
    <t>Water ingress design iterations require additional quantity and duration</t>
  </si>
  <si>
    <t>Shifted to Feasibility Verification Testing.</t>
  </si>
  <si>
    <t>Production Risk</t>
  </si>
  <si>
    <t>Availability of manufacturing equipment resulting in schedule delay</t>
  </si>
  <si>
    <t>Identify manufacturing partners with needed capabilities</t>
  </si>
  <si>
    <t>Duane</t>
  </si>
  <si>
    <t>Negative validation results at client cause changes to DI</t>
  </si>
  <si>
    <t>Scope Creep Risk</t>
  </si>
  <si>
    <t>End of Design &amp; Development Phase</t>
  </si>
  <si>
    <t>Manufacturing Move/Transfer Risk</t>
  </si>
  <si>
    <t>Planned production partner not willing to accept product due to significant electronics/optical component</t>
  </si>
  <si>
    <t>Identify new production partner</t>
  </si>
  <si>
    <t>Execution Risk</t>
  </si>
  <si>
    <t>Sample size for DV less than budgeted</t>
  </si>
  <si>
    <t>Reimbursement Risk</t>
  </si>
  <si>
    <t>Optical vendor requires additional NRE to achieve design targers</t>
  </si>
  <si>
    <t>Camera look-down angle not adequate resulting in need for tilt-down feature at camera vertebrae</t>
  </si>
  <si>
    <t>None Approved: Initiate Design Activity</t>
  </si>
  <si>
    <t>Not Approved</t>
  </si>
  <si>
    <t>Cost assumes 2 months of Design Workforce at 50%</t>
  </si>
  <si>
    <t>Test Method Development Risk</t>
  </si>
  <si>
    <t>Accelerated DV schedule required portion of DV to be repeated prior to end of Phase II</t>
  </si>
  <si>
    <t>Design challenges associated with selectively-compliant endoscope shaft not fully captured, resulting in additional development efforts</t>
  </si>
  <si>
    <t>Crystal Ball -&gt;</t>
  </si>
  <si>
    <t>Duration:
Max value of all weighted scores
- Assumes 100% of 9's
- Assumes 75% of 3's
- Assumes 50% of 1's
Cost:
Sum of all weighted scores
- Assume 100% of 9's
- Assume 50% of 3's
- Assume 10% of 1's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</si>
</sst>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m/d/yy;@"/>
    <numFmt numFmtId="165" formatCode="0&quot; months&quot;"/>
    <numFmt numFmtId="166" formatCode="[$-809]dd\ mmmm\ yyyy;@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name val="Arial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</cellStyleXfs>
  <cellXfs count="99">
    <xf numFmtId="0" fontId="0" fillId="0" borderId="0" xfId="0"/>
    <xf numFmtId="0" fontId="4" fillId="2" borderId="1" xfId="1" applyFont="1" applyFill="1" applyBorder="1" applyAlignment="1">
      <alignment horizontal="right"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/>
    </xf>
    <xf numFmtId="5" fontId="0" fillId="0" borderId="0" xfId="2" applyNumberFormat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14" fontId="6" fillId="0" borderId="1" xfId="1" applyNumberFormat="1" applyFont="1" applyBorder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8" fillId="2" borderId="1" xfId="3" applyFont="1" applyFill="1" applyBorder="1" applyAlignment="1" applyProtection="1">
      <alignment horizontal="center" vertical="center" wrapText="1"/>
      <protection locked="0"/>
    </xf>
    <xf numFmtId="0" fontId="8" fillId="2" borderId="5" xfId="3" applyFont="1" applyFill="1" applyBorder="1" applyAlignment="1" applyProtection="1">
      <alignment horizontal="center" vertical="center" wrapText="1"/>
      <protection locked="0"/>
    </xf>
    <xf numFmtId="0" fontId="8" fillId="2" borderId="6" xfId="3" applyFont="1" applyFill="1" applyBorder="1" applyAlignment="1" applyProtection="1">
      <alignment horizontal="center" vertical="center" wrapText="1"/>
      <protection locked="0"/>
    </xf>
    <xf numFmtId="0" fontId="8" fillId="2" borderId="7" xfId="3" applyFont="1" applyFill="1" applyBorder="1" applyAlignment="1" applyProtection="1">
      <alignment horizontal="center" vertical="center" wrapText="1"/>
      <protection locked="0"/>
    </xf>
    <xf numFmtId="0" fontId="8" fillId="2" borderId="8" xfId="3" applyFont="1" applyFill="1" applyBorder="1" applyAlignment="1" applyProtection="1">
      <alignment horizontal="center" vertical="center" wrapText="1"/>
      <protection locked="0"/>
    </xf>
    <xf numFmtId="0" fontId="8" fillId="2" borderId="9" xfId="3" applyFont="1" applyFill="1" applyBorder="1" applyAlignment="1" applyProtection="1">
      <alignment horizontal="center" vertical="center" wrapText="1"/>
      <protection locked="0"/>
    </xf>
    <xf numFmtId="0" fontId="8" fillId="2" borderId="10" xfId="3" applyFont="1" applyFill="1" applyBorder="1" applyAlignment="1" applyProtection="1">
      <alignment horizontal="center" vertical="center" wrapText="1"/>
      <protection locked="0"/>
    </xf>
    <xf numFmtId="0" fontId="8" fillId="2" borderId="11" xfId="3" applyFont="1" applyFill="1" applyBorder="1" applyAlignment="1" applyProtection="1">
      <alignment horizontal="center" vertical="center" wrapText="1"/>
      <protection locked="0"/>
    </xf>
    <xf numFmtId="0" fontId="8" fillId="2" borderId="12" xfId="3" applyFont="1" applyFill="1" applyBorder="1" applyAlignment="1" applyProtection="1">
      <alignment horizontal="center" vertical="center" wrapText="1"/>
      <protection locked="0"/>
    </xf>
    <xf numFmtId="0" fontId="8" fillId="2" borderId="13" xfId="3" applyFont="1" applyFill="1" applyBorder="1" applyAlignment="1" applyProtection="1">
      <alignment horizontal="center" vertical="center" wrapText="1"/>
      <protection locked="0"/>
    </xf>
    <xf numFmtId="0" fontId="3" fillId="0" borderId="0" xfId="1" applyFont="1" applyAlignment="1">
      <alignment vertical="center"/>
    </xf>
    <xf numFmtId="0" fontId="9" fillId="0" borderId="1" xfId="3" applyFont="1" applyBorder="1" applyAlignment="1" applyProtection="1">
      <alignment horizontal="center" vertical="center" wrapText="1"/>
      <protection locked="0"/>
    </xf>
    <xf numFmtId="164" fontId="9" fillId="0" borderId="1" xfId="3" applyNumberFormat="1" applyFont="1" applyBorder="1" applyAlignment="1" applyProtection="1">
      <alignment horizontal="center" vertical="center" wrapText="1"/>
      <protection locked="0"/>
    </xf>
    <xf numFmtId="5" fontId="9" fillId="0" borderId="1" xfId="2" applyNumberFormat="1" applyFont="1" applyFill="1" applyBorder="1" applyAlignment="1" applyProtection="1">
      <alignment horizontal="center" vertical="center" wrapText="1"/>
      <protection locked="0"/>
    </xf>
    <xf numFmtId="165" fontId="9" fillId="0" borderId="1" xfId="3" applyNumberFormat="1" applyFont="1" applyBorder="1" applyAlignment="1" applyProtection="1">
      <alignment horizontal="center" vertical="center" wrapText="1"/>
      <protection locked="0"/>
    </xf>
    <xf numFmtId="5" fontId="9" fillId="0" borderId="6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10" xfId="3" applyFont="1" applyBorder="1" applyAlignment="1" applyProtection="1">
      <alignment horizontal="center" vertical="center" wrapText="1"/>
      <protection locked="0"/>
    </xf>
    <xf numFmtId="165" fontId="9" fillId="0" borderId="1" xfId="2" applyNumberFormat="1" applyFont="1" applyFill="1" applyBorder="1" applyAlignment="1" applyProtection="1">
      <alignment horizontal="center" vertical="center" wrapText="1"/>
    </xf>
    <xf numFmtId="5" fontId="9" fillId="0" borderId="11" xfId="2" applyNumberFormat="1" applyFont="1" applyFill="1" applyBorder="1" applyAlignment="1" applyProtection="1">
      <alignment horizontal="center" vertical="center" wrapText="1"/>
    </xf>
    <xf numFmtId="165" fontId="9" fillId="0" borderId="1" xfId="2" applyNumberFormat="1" applyFont="1" applyFill="1" applyBorder="1" applyAlignment="1" applyProtection="1">
      <alignment horizontal="center" vertical="center" wrapText="1"/>
      <protection locked="0"/>
    </xf>
    <xf numFmtId="5" fontId="9" fillId="0" borderId="11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locked="0"/>
    </xf>
    <xf numFmtId="5" fontId="9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Alignment="1">
      <alignment vertical="center"/>
    </xf>
    <xf numFmtId="0" fontId="9" fillId="0" borderId="6" xfId="3" applyFont="1" applyBorder="1" applyAlignment="1" applyProtection="1">
      <alignment horizontal="center" vertical="center" wrapText="1"/>
      <protection locked="0"/>
    </xf>
    <xf numFmtId="0" fontId="10" fillId="0" borderId="14" xfId="3" applyFont="1" applyBorder="1" applyAlignment="1" applyProtection="1">
      <alignment horizontal="center" vertical="center" wrapText="1"/>
      <protection locked="0"/>
    </xf>
    <xf numFmtId="14" fontId="9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3" applyFont="1" applyFill="1" applyBorder="1" applyAlignment="1" applyProtection="1">
      <alignment horizontal="center" vertical="center" wrapText="1"/>
      <protection locked="0"/>
    </xf>
    <xf numFmtId="165" fontId="9" fillId="3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3" borderId="6" xfId="3" applyFont="1" applyFill="1" applyBorder="1" applyAlignment="1" applyProtection="1">
      <alignment horizontal="center" vertical="center" wrapText="1"/>
      <protection locked="0"/>
    </xf>
    <xf numFmtId="0" fontId="9" fillId="3" borderId="10" xfId="3" applyFont="1" applyFill="1" applyBorder="1" applyAlignment="1" applyProtection="1">
      <alignment horizontal="center" vertical="center" wrapText="1"/>
      <protection locked="0"/>
    </xf>
    <xf numFmtId="166" fontId="9" fillId="0" borderId="14" xfId="3" applyNumberFormat="1" applyFont="1" applyBorder="1" applyAlignment="1" applyProtection="1">
      <alignment horizontal="center" vertical="center" wrapText="1"/>
      <protection locked="0"/>
    </xf>
    <xf numFmtId="166" fontId="9" fillId="0" borderId="1" xfId="3" applyNumberFormat="1" applyFont="1" applyBorder="1" applyAlignment="1" applyProtection="1">
      <alignment horizontal="center" vertical="center" wrapText="1"/>
      <protection locked="0"/>
    </xf>
    <xf numFmtId="0" fontId="10" fillId="3" borderId="1" xfId="3" applyFont="1" applyFill="1" applyBorder="1" applyAlignment="1" applyProtection="1">
      <alignment horizontal="center" vertical="center" wrapText="1"/>
      <protection locked="0"/>
    </xf>
    <xf numFmtId="5" fontId="9" fillId="0" borderId="5" xfId="2" applyNumberFormat="1" applyFont="1" applyFill="1" applyBorder="1" applyAlignment="1" applyProtection="1">
      <alignment horizontal="center" vertical="center" wrapText="1"/>
      <protection locked="0"/>
    </xf>
    <xf numFmtId="0" fontId="9" fillId="3" borderId="5" xfId="3" applyFont="1" applyFill="1" applyBorder="1" applyAlignment="1" applyProtection="1">
      <alignment horizontal="center" vertical="center" wrapText="1"/>
      <protection locked="0"/>
    </xf>
    <xf numFmtId="0" fontId="10" fillId="3" borderId="5" xfId="3" applyFont="1" applyFill="1" applyBorder="1" applyAlignment="1" applyProtection="1">
      <alignment horizontal="center" vertical="center" wrapText="1"/>
      <protection locked="0"/>
    </xf>
    <xf numFmtId="165" fontId="9" fillId="3" borderId="5" xfId="3" applyNumberFormat="1" applyFont="1" applyFill="1" applyBorder="1" applyAlignment="1" applyProtection="1">
      <alignment horizontal="center" vertical="center" wrapText="1"/>
      <protection locked="0"/>
    </xf>
    <xf numFmtId="0" fontId="9" fillId="3" borderId="15" xfId="3" applyFont="1" applyFill="1" applyBorder="1" applyAlignment="1" applyProtection="1">
      <alignment horizontal="center" vertical="center" wrapText="1"/>
      <protection locked="0"/>
    </xf>
    <xf numFmtId="0" fontId="9" fillId="3" borderId="16" xfId="3" applyFont="1" applyFill="1" applyBorder="1" applyAlignment="1" applyProtection="1">
      <alignment horizontal="center" vertical="center" wrapText="1"/>
      <protection locked="0"/>
    </xf>
    <xf numFmtId="0" fontId="9" fillId="3" borderId="17" xfId="3" applyFont="1" applyFill="1" applyBorder="1" applyAlignment="1" applyProtection="1">
      <alignment horizontal="center" vertical="center" wrapText="1"/>
      <protection locked="0"/>
    </xf>
    <xf numFmtId="0" fontId="9" fillId="3" borderId="1" xfId="3" applyFont="1" applyFill="1" applyBorder="1" applyAlignment="1" applyProtection="1">
      <alignment horizontal="center" vertical="center"/>
      <protection locked="0"/>
    </xf>
    <xf numFmtId="6" fontId="9" fillId="3" borderId="5" xfId="4" applyNumberFormat="1" applyFont="1" applyFill="1" applyBorder="1" applyAlignment="1" applyProtection="1">
      <alignment horizontal="center" vertical="center" wrapText="1"/>
      <protection locked="0"/>
    </xf>
    <xf numFmtId="166" fontId="9" fillId="3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0" borderId="14" xfId="3" applyFont="1" applyBorder="1" applyAlignment="1" applyProtection="1">
      <alignment horizontal="center" vertical="center" wrapText="1"/>
      <protection locked="0"/>
    </xf>
    <xf numFmtId="5" fontId="9" fillId="3" borderId="1" xfId="4" applyNumberFormat="1" applyFont="1" applyFill="1" applyBorder="1" applyAlignment="1" applyProtection="1">
      <alignment horizontal="center" vertical="center" wrapText="1"/>
      <protection locked="0"/>
    </xf>
    <xf numFmtId="14" fontId="9" fillId="0" borderId="1" xfId="3" applyNumberFormat="1" applyFont="1" applyBorder="1" applyAlignment="1" applyProtection="1">
      <alignment horizontal="center" vertical="center" wrapText="1"/>
      <protection locked="0"/>
    </xf>
    <xf numFmtId="0" fontId="9" fillId="0" borderId="18" xfId="3" applyFont="1" applyBorder="1" applyAlignment="1" applyProtection="1">
      <alignment horizontal="center" vertical="center" wrapText="1"/>
      <protection locked="0"/>
    </xf>
    <xf numFmtId="0" fontId="9" fillId="0" borderId="5" xfId="3" applyFont="1" applyBorder="1" applyAlignment="1" applyProtection="1">
      <alignment horizontal="center" vertical="center" wrapText="1"/>
      <protection locked="0"/>
    </xf>
    <xf numFmtId="0" fontId="10" fillId="0" borderId="5" xfId="3" applyFont="1" applyBorder="1" applyAlignment="1" applyProtection="1">
      <alignment horizontal="center" vertical="center" wrapText="1"/>
      <protection locked="0"/>
    </xf>
    <xf numFmtId="5" fontId="9" fillId="0" borderId="5" xfId="4" applyNumberFormat="1" applyFont="1" applyFill="1" applyBorder="1" applyAlignment="1" applyProtection="1">
      <alignment horizontal="center" vertical="center" wrapText="1"/>
      <protection locked="0"/>
    </xf>
    <xf numFmtId="0" fontId="9" fillId="0" borderId="17" xfId="3" applyFont="1" applyBorder="1" applyAlignment="1" applyProtection="1">
      <alignment horizontal="center" vertical="center" wrapText="1"/>
      <protection locked="0"/>
    </xf>
    <xf numFmtId="5" fontId="9" fillId="3" borderId="5" xfId="4" applyNumberFormat="1" applyFont="1" applyFill="1" applyBorder="1" applyAlignment="1" applyProtection="1">
      <alignment horizontal="center" vertical="center" wrapText="1"/>
      <protection locked="0"/>
    </xf>
    <xf numFmtId="14" fontId="9" fillId="0" borderId="5" xfId="3" applyNumberFormat="1" applyFont="1" applyBorder="1" applyAlignment="1" applyProtection="1">
      <alignment horizontal="center" vertical="center" wrapText="1"/>
      <protection locked="0"/>
    </xf>
    <xf numFmtId="0" fontId="11" fillId="0" borderId="1" xfId="3" applyFont="1" applyBorder="1" applyAlignment="1" applyProtection="1">
      <alignment horizontal="center" vertical="center" wrapText="1"/>
      <protection locked="0"/>
    </xf>
    <xf numFmtId="164" fontId="11" fillId="0" borderId="1" xfId="3" applyNumberFormat="1" applyFont="1" applyBorder="1" applyAlignment="1" applyProtection="1">
      <alignment horizontal="center" vertical="center" wrapText="1"/>
      <protection locked="0"/>
    </xf>
    <xf numFmtId="165" fontId="11" fillId="0" borderId="1" xfId="2" applyNumberFormat="1" applyFont="1" applyFill="1" applyBorder="1" applyAlignment="1" applyProtection="1">
      <alignment horizontal="center" vertical="center" wrapText="1"/>
      <protection locked="0"/>
    </xf>
    <xf numFmtId="5" fontId="11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1" fillId="0" borderId="10" xfId="3" applyFont="1" applyBorder="1" applyAlignment="1" applyProtection="1">
      <alignment horizontal="center" vertical="center" wrapText="1"/>
      <protection locked="0"/>
    </xf>
    <xf numFmtId="5" fontId="11" fillId="0" borderId="11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>
      <alignment horizontal="center" vertical="center" wrapText="1"/>
    </xf>
    <xf numFmtId="5" fontId="11" fillId="3" borderId="1" xfId="4" applyNumberFormat="1" applyFont="1" applyFill="1" applyBorder="1" applyAlignment="1" applyProtection="1">
      <alignment horizontal="center" vertical="center" wrapText="1"/>
      <protection locked="0"/>
    </xf>
    <xf numFmtId="0" fontId="11" fillId="3" borderId="1" xfId="3" applyFont="1" applyFill="1" applyBorder="1" applyAlignment="1" applyProtection="1">
      <alignment horizontal="center" vertical="center" wrapText="1"/>
      <protection locked="0"/>
    </xf>
    <xf numFmtId="165" fontId="11" fillId="0" borderId="1" xfId="3" applyNumberFormat="1" applyFont="1" applyBorder="1" applyAlignment="1" applyProtection="1">
      <alignment horizontal="center" vertical="center" wrapText="1"/>
      <protection locked="0"/>
    </xf>
    <xf numFmtId="5" fontId="11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1" fillId="0" borderId="6" xfId="3" applyFont="1" applyBorder="1" applyAlignment="1" applyProtection="1">
      <alignment horizontal="center" vertical="center" wrapText="1"/>
      <protection locked="0"/>
    </xf>
    <xf numFmtId="0" fontId="11" fillId="0" borderId="19" xfId="3" applyFont="1" applyBorder="1" applyAlignment="1" applyProtection="1">
      <alignment horizontal="center" vertical="center" wrapText="1"/>
      <protection locked="0"/>
    </xf>
    <xf numFmtId="165" fontId="11" fillId="0" borderId="20" xfId="2" applyNumberFormat="1" applyFont="1" applyFill="1" applyBorder="1" applyAlignment="1" applyProtection="1">
      <alignment horizontal="center" vertical="center" wrapText="1"/>
      <protection locked="0"/>
    </xf>
    <xf numFmtId="5" fontId="11" fillId="0" borderId="21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14" xfId="3" applyFont="1" applyBorder="1" applyAlignment="1" applyProtection="1">
      <alignment horizontal="center" vertical="center" wrapText="1"/>
      <protection locked="0"/>
    </xf>
    <xf numFmtId="0" fontId="12" fillId="0" borderId="1" xfId="3" applyFont="1" applyBorder="1" applyAlignment="1" applyProtection="1">
      <alignment horizontal="center" vertical="center" wrapText="1"/>
      <protection locked="0"/>
    </xf>
    <xf numFmtId="14" fontId="11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1" fillId="0" borderId="22" xfId="3" applyFont="1" applyBorder="1" applyAlignment="1" applyProtection="1">
      <alignment horizontal="center" vertical="center" wrapText="1"/>
      <protection locked="0"/>
    </xf>
    <xf numFmtId="0" fontId="12" fillId="0" borderId="12" xfId="3" applyFont="1" applyBorder="1" applyAlignment="1" applyProtection="1">
      <alignment horizontal="center" vertical="center" wrapText="1"/>
      <protection locked="0"/>
    </xf>
    <xf numFmtId="0" fontId="11" fillId="0" borderId="7" xfId="3" applyFont="1" applyBorder="1" applyAlignment="1" applyProtection="1">
      <alignment horizontal="center" vertical="center" wrapText="1"/>
      <protection locked="0"/>
    </xf>
    <xf numFmtId="165" fontId="11" fillId="0" borderId="13" xfId="2" applyNumberFormat="1" applyFont="1" applyFill="1" applyBorder="1" applyAlignment="1" applyProtection="1">
      <alignment horizontal="center" vertical="center" wrapText="1"/>
      <protection locked="0"/>
    </xf>
    <xf numFmtId="5" fontId="11" fillId="0" borderId="9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1" fillId="0" borderId="0" xfId="3" applyFont="1" applyAlignment="1" applyProtection="1">
      <alignment horizontal="center" vertical="center" wrapText="1"/>
      <protection locked="0"/>
    </xf>
    <xf numFmtId="164" fontId="11" fillId="0" borderId="0" xfId="3" applyNumberFormat="1" applyFont="1" applyAlignment="1" applyProtection="1">
      <alignment horizontal="center" vertical="center" wrapText="1"/>
      <protection locked="0"/>
    </xf>
    <xf numFmtId="5" fontId="0" fillId="0" borderId="0" xfId="2" applyNumberFormat="1" applyFont="1" applyFill="1" applyBorder="1" applyAlignment="1">
      <alignment vertical="center"/>
    </xf>
    <xf numFmtId="0" fontId="1" fillId="0" borderId="0" xfId="1" applyAlignment="1">
      <alignment vertical="center" wrapText="1"/>
    </xf>
    <xf numFmtId="0" fontId="1" fillId="4" borderId="23" xfId="1" applyFill="1" applyBorder="1" applyAlignment="1">
      <alignment horizontal="center" vertical="center"/>
    </xf>
    <xf numFmtId="165" fontId="0" fillId="0" borderId="24" xfId="2" applyNumberFormat="1" applyFont="1" applyFill="1" applyBorder="1" applyAlignment="1">
      <alignment horizontal="center" vertical="center"/>
    </xf>
    <xf numFmtId="5" fontId="0" fillId="0" borderId="25" xfId="2" applyNumberFormat="1" applyFont="1" applyFill="1" applyBorder="1" applyAlignment="1">
      <alignment horizontal="center" vertical="center"/>
    </xf>
    <xf numFmtId="5" fontId="13" fillId="4" borderId="23" xfId="2" applyNumberFormat="1" applyFont="1" applyFill="1" applyBorder="1" applyAlignment="1">
      <alignment horizontal="center" vertical="center"/>
    </xf>
  </cellXfs>
  <cellStyles count="5">
    <cellStyle name="Currency 3 2 2" xfId="2" xr:uid="{DCAD0B38-155E-432D-B631-E53A4ACC8756}"/>
    <cellStyle name="Currency 5 2" xfId="4" xr:uid="{475C5D32-3CA8-4992-AC8B-20155B609F0C}"/>
    <cellStyle name="Normal" xfId="0" builtinId="0"/>
    <cellStyle name="Normal 4 2 2" xfId="1" xr:uid="{67A8CDBC-979A-4E44-A2CA-92DB811C261F}"/>
    <cellStyle name="Normal_Risk register 1" xfId="3" xr:uid="{66A4172E-34D7-45B0-94CE-2FDE80FDE431}"/>
  </cellStyles>
  <dxfs count="13">
    <dxf>
      <fill>
        <patternFill>
          <bgColor indexed="57"/>
        </patternFill>
      </fill>
    </dxf>
    <dxf>
      <font>
        <color theme="1"/>
      </font>
      <fill>
        <patternFill>
          <bgColor rgb="FFFEFEA0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6" tint="0.79998168889431442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 patternType="solid">
          <bgColor indexed="29"/>
        </patternFill>
      </fill>
    </dxf>
    <dxf>
      <font>
        <color theme="1"/>
      </font>
      <fill>
        <patternFill>
          <bgColor rgb="FFFEFEA0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6" tint="0.79998168889431442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 patternType="solid">
          <bgColor indexed="2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Plexus/BGT-PLX-CIT-0001-00R04_5.xlsx" TargetMode="External"/><Relationship Id="rId2" Type="http://schemas.openxmlformats.org/officeDocument/2006/relationships/externalLinkPath" Target="https://d.docs.live.net/9a5933822faaa4bf/Plexus/BGT-PLX-CIT-0001-00R04_5.xlsx" TargetMode="External"/><Relationship Id="rId1" Type="http://schemas.openxmlformats.org/officeDocument/2006/relationships/externalLinkPath" Target="/9a5933822faaa4bf/Plexus/BGT-PLX-CIT-0001-00R04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LOBAL VARIABLES"/>
      <sheetName val="Technical Overview"/>
      <sheetName val="Overall BU Budget Summary"/>
      <sheetName val="Risk Register "/>
      <sheetName val=" Monthly BU Budget Summary"/>
      <sheetName val="Business Milestones"/>
      <sheetName val="R&amp;D Expenses"/>
      <sheetName val="R&amp;D Capital"/>
      <sheetName val="R&amp;D Workforce"/>
      <sheetName val="Reg Expenses"/>
      <sheetName val="Reg Workforce"/>
      <sheetName val="Clin Expenses"/>
      <sheetName val="Clinical Study Exp"/>
      <sheetName val="Clin Workforce"/>
      <sheetName val="MFG DM Expenses"/>
      <sheetName val="Product Demand Forecast"/>
      <sheetName val="MFG DL Workforce"/>
      <sheetName val="MFG DO Expenses"/>
      <sheetName val="MFG DO Capital"/>
      <sheetName val="MFG DO Workforce"/>
      <sheetName val="SYST A&amp;U"/>
      <sheetName val="EQMT A&amp;U "/>
    </sheetNames>
    <sheetDataSet>
      <sheetData sheetId="0">
        <row r="5">
          <cell r="B5" t="str">
            <v>CIT</v>
          </cell>
        </row>
      </sheetData>
      <sheetData sheetId="1"/>
      <sheetData sheetId="2"/>
      <sheetData sheetId="3"/>
      <sheetData sheetId="4"/>
      <sheetData sheetId="5">
        <row r="8">
          <cell r="B8" t="str">
            <v>Feasibility Build Complete
(PRS Signed off, incl. TMs)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534-5CA1-43A0-871B-A256192AD608}">
  <sheetPr>
    <pageSetUpPr fitToPage="1"/>
  </sheetPr>
  <dimension ref="A1:AW23"/>
  <sheetViews>
    <sheetView tabSelected="1" topLeftCell="A8" zoomScale="80" zoomScaleNormal="80" zoomScalePageLayoutView="80" workbookViewId="0">
      <selection activeCell="M10" sqref="M10"/>
    </sheetView>
  </sheetViews>
  <sheetFormatPr defaultColWidth="8.77734375" defaultRowHeight="14.4" x14ac:dyDescent="0.25"/>
  <cols>
    <col min="1" max="1" width="12.21875" style="3" customWidth="1"/>
    <col min="2" max="2" width="13" style="4" customWidth="1"/>
    <col min="3" max="3" width="66.44140625" style="3" customWidth="1"/>
    <col min="4" max="4" width="21.5546875" style="3" customWidth="1"/>
    <col min="5" max="5" width="12.109375" style="4" customWidth="1"/>
    <col min="6" max="6" width="14.44140625" style="4" customWidth="1"/>
    <col min="7" max="7" width="25.77734375" style="5" customWidth="1"/>
    <col min="8" max="8" width="14.44140625" style="4" customWidth="1"/>
    <col min="9" max="9" width="14.44140625" style="5" customWidth="1"/>
    <col min="10" max="10" width="17.109375" style="4" customWidth="1"/>
    <col min="11" max="11" width="14.44140625" style="4" customWidth="1"/>
    <col min="12" max="12" width="14.44140625" style="5" customWidth="1"/>
    <col min="13" max="13" width="17.88671875" style="5" customWidth="1"/>
    <col min="14" max="15" width="14.44140625" style="5" customWidth="1"/>
    <col min="16" max="16" width="26.44140625" style="4" customWidth="1"/>
    <col min="17" max="17" width="12" style="4" customWidth="1"/>
    <col min="18" max="18" width="22.77734375" style="5" customWidth="1"/>
    <col min="19" max="19" width="23" style="4" customWidth="1"/>
    <col min="20" max="20" width="18.109375" style="4" customWidth="1"/>
    <col min="21" max="21" width="47.109375" style="4" customWidth="1"/>
    <col min="22" max="48" width="8.77734375" style="4"/>
    <col min="49" max="49" width="35.77734375" style="4" customWidth="1"/>
    <col min="50" max="16384" width="8.77734375" style="4"/>
  </cols>
  <sheetData>
    <row r="1" spans="1:49" ht="15.6" x14ac:dyDescent="0.25">
      <c r="A1" s="1" t="s">
        <v>0</v>
      </c>
      <c r="B1" s="1"/>
      <c r="C1" s="2" t="str">
        <f>'[1]GLOBAL VARIABLES'!B5</f>
        <v>CIT</v>
      </c>
      <c r="G1" s="4"/>
      <c r="H1" s="5"/>
      <c r="I1" s="4"/>
      <c r="K1" s="5"/>
      <c r="L1" s="4"/>
      <c r="M1" s="4"/>
      <c r="N1" s="4"/>
      <c r="O1" s="4"/>
      <c r="R1" s="4"/>
    </row>
    <row r="2" spans="1:49" ht="14.85" customHeight="1" x14ac:dyDescent="0.25">
      <c r="A2" s="1" t="s">
        <v>1</v>
      </c>
      <c r="B2" s="1"/>
      <c r="C2" s="2" t="s">
        <v>2</v>
      </c>
      <c r="G2" s="4"/>
      <c r="H2" s="5"/>
      <c r="I2" s="4"/>
      <c r="K2" s="5"/>
      <c r="L2" s="4"/>
      <c r="M2" s="4"/>
      <c r="N2" s="4"/>
      <c r="O2" s="4"/>
      <c r="R2" s="4"/>
    </row>
    <row r="3" spans="1:49" ht="14.85" customHeight="1" x14ac:dyDescent="0.25">
      <c r="A3" s="1" t="s">
        <v>3</v>
      </c>
      <c r="B3" s="1"/>
      <c r="C3" s="6" t="str">
        <f>'[1]Business Milestones'!B8</f>
        <v>Feasibility Build Complete
(PRS Signed off, incl. TMs)</v>
      </c>
      <c r="E3" s="7"/>
      <c r="G3" s="4"/>
      <c r="H3" s="5"/>
      <c r="I3" s="4"/>
      <c r="K3" s="5"/>
      <c r="L3" s="4"/>
      <c r="M3" s="4"/>
      <c r="N3" s="4"/>
      <c r="O3" s="4"/>
      <c r="R3" s="4"/>
    </row>
    <row r="4" spans="1:49" ht="14.85" customHeight="1" x14ac:dyDescent="0.25">
      <c r="A4" s="1" t="s">
        <v>4</v>
      </c>
      <c r="B4" s="1"/>
      <c r="C4" s="8">
        <v>43213</v>
      </c>
      <c r="D4" s="9"/>
      <c r="E4" s="7"/>
      <c r="G4" s="4"/>
      <c r="H4" s="5"/>
      <c r="I4" s="4"/>
      <c r="K4" s="5"/>
      <c r="L4" s="4"/>
      <c r="M4" s="4"/>
      <c r="N4" s="4"/>
      <c r="O4" s="4"/>
      <c r="R4" s="4"/>
    </row>
    <row r="5" spans="1:49" ht="15" thickBot="1" x14ac:dyDescent="0.3"/>
    <row r="6" spans="1:49" x14ac:dyDescent="0.25">
      <c r="J6" s="10" t="s">
        <v>5</v>
      </c>
      <c r="K6" s="11"/>
      <c r="L6" s="12"/>
      <c r="M6" s="10" t="s">
        <v>6</v>
      </c>
      <c r="N6" s="11"/>
      <c r="O6" s="12"/>
    </row>
    <row r="7" spans="1:49" ht="33" customHeight="1" x14ac:dyDescent="0.25">
      <c r="A7" s="13" t="s">
        <v>7</v>
      </c>
      <c r="B7" s="13" t="s">
        <v>8</v>
      </c>
      <c r="C7" s="13" t="s">
        <v>9</v>
      </c>
      <c r="D7" s="14" t="s">
        <v>10</v>
      </c>
      <c r="E7" s="13" t="s">
        <v>11</v>
      </c>
      <c r="F7" s="13" t="s">
        <v>12</v>
      </c>
      <c r="G7" s="13" t="s">
        <v>13</v>
      </c>
      <c r="H7" s="13" t="s">
        <v>14</v>
      </c>
      <c r="I7" s="15" t="s">
        <v>15</v>
      </c>
      <c r="J7" s="16" t="s">
        <v>16</v>
      </c>
      <c r="K7" s="17" t="s">
        <v>17</v>
      </c>
      <c r="L7" s="18" t="s">
        <v>18</v>
      </c>
      <c r="M7" s="19" t="s">
        <v>19</v>
      </c>
      <c r="N7" s="14" t="s">
        <v>17</v>
      </c>
      <c r="O7" s="20" t="s">
        <v>18</v>
      </c>
      <c r="P7" s="21" t="s">
        <v>20</v>
      </c>
      <c r="Q7" s="13" t="s">
        <v>21</v>
      </c>
      <c r="R7" s="13" t="s">
        <v>22</v>
      </c>
      <c r="S7" s="13" t="s">
        <v>23</v>
      </c>
      <c r="T7" s="13" t="s">
        <v>24</v>
      </c>
      <c r="U7" s="13" t="s">
        <v>25</v>
      </c>
    </row>
    <row r="8" spans="1:49" ht="41.4" x14ac:dyDescent="0.25">
      <c r="A8" s="13"/>
      <c r="B8" s="13"/>
      <c r="C8" s="13"/>
      <c r="D8" s="22"/>
      <c r="E8" s="13"/>
      <c r="F8" s="13"/>
      <c r="G8" s="13"/>
      <c r="H8" s="13"/>
      <c r="I8" s="15"/>
      <c r="J8" s="19" t="s">
        <v>26</v>
      </c>
      <c r="K8" s="22"/>
      <c r="L8" s="20"/>
      <c r="M8" s="19" t="s">
        <v>26</v>
      </c>
      <c r="N8" s="22"/>
      <c r="O8" s="20"/>
      <c r="P8" s="21"/>
      <c r="Q8" s="13"/>
      <c r="R8" s="13"/>
      <c r="S8" s="13"/>
      <c r="T8" s="13"/>
      <c r="U8" s="13"/>
      <c r="AW8" s="23" t="s">
        <v>27</v>
      </c>
    </row>
    <row r="9" spans="1:49" s="36" customFormat="1" ht="27.6" x14ac:dyDescent="0.25">
      <c r="A9" s="24">
        <v>1</v>
      </c>
      <c r="B9" s="25">
        <v>43160</v>
      </c>
      <c r="C9" s="24" t="s">
        <v>28</v>
      </c>
      <c r="D9" s="24" t="s">
        <v>29</v>
      </c>
      <c r="E9" s="24" t="s">
        <v>30</v>
      </c>
      <c r="F9" s="24" t="s">
        <v>31</v>
      </c>
      <c r="G9" s="26" t="s">
        <v>32</v>
      </c>
      <c r="H9" s="27">
        <v>3</v>
      </c>
      <c r="I9" s="28">
        <v>340000</v>
      </c>
      <c r="J9" s="29">
        <v>3</v>
      </c>
      <c r="K9" s="30">
        <f>IF($J9=1,$H9*50%,IF($J9=3,$H9*75%,IF($J9=9,$H9*100%,"")))</f>
        <v>2.25</v>
      </c>
      <c r="L9" s="31">
        <f>IF($J9=1,$I9*10%,IF($J9=3,$I9*50%,IF($J9=9,$I9*100%,"")))</f>
        <v>170000</v>
      </c>
      <c r="M9" s="29">
        <v>3</v>
      </c>
      <c r="N9" s="32">
        <f t="shared" ref="N9:N21" si="0">IF($M9=1,$H9*50%,IF($M9=3,$H9*75%,IF($M9=9,$H9*100%,"0")))</f>
        <v>2.25</v>
      </c>
      <c r="O9" s="33">
        <f>IF($M9=1,$I9*10%,IF($M9=3,$I9*50%,IF($M9=9,$I9*100%,"0")))</f>
        <v>170000</v>
      </c>
      <c r="P9" s="34"/>
      <c r="Q9" s="34"/>
      <c r="R9" s="35"/>
      <c r="S9" s="35"/>
      <c r="T9" s="35"/>
      <c r="U9" s="24" t="s">
        <v>33</v>
      </c>
      <c r="AW9" s="36" t="s">
        <v>34</v>
      </c>
    </row>
    <row r="10" spans="1:49" s="36" customFormat="1" ht="82.8" x14ac:dyDescent="0.25">
      <c r="A10" s="24">
        <v>2</v>
      </c>
      <c r="B10" s="25">
        <v>43160</v>
      </c>
      <c r="C10" s="24" t="s">
        <v>35</v>
      </c>
      <c r="D10" s="24" t="s">
        <v>36</v>
      </c>
      <c r="E10" s="24" t="s">
        <v>30</v>
      </c>
      <c r="F10" s="24" t="s">
        <v>30</v>
      </c>
      <c r="G10" s="26" t="s">
        <v>32</v>
      </c>
      <c r="H10" s="27">
        <v>3</v>
      </c>
      <c r="I10" s="28">
        <v>25000</v>
      </c>
      <c r="J10" s="37">
        <v>9</v>
      </c>
      <c r="K10" s="30">
        <f t="shared" ref="K10:K21" si="1">IF($J10=1,$H10*50%,IF($J10=3,$H10*75%,IF($J10=9,$H10*100%,"")))</f>
        <v>3</v>
      </c>
      <c r="L10" s="31">
        <f t="shared" ref="L10:L21" si="2">IF($J10=1,$I10*10%,IF($J10=3,$I10*50%,IF($J10=9,$I10*100%,"")))</f>
        <v>25000</v>
      </c>
      <c r="M10" s="29">
        <v>9</v>
      </c>
      <c r="N10" s="32">
        <f t="shared" si="0"/>
        <v>3</v>
      </c>
      <c r="O10" s="33">
        <f t="shared" ref="O10:O21" si="3">IF($M10=1,$I10*10%,IF($M10=3,$I10*50%,IF($M10=9,$I10*100%,"0")))</f>
        <v>25000</v>
      </c>
      <c r="P10" s="38" t="s">
        <v>37</v>
      </c>
      <c r="Q10" s="34" t="s">
        <v>30</v>
      </c>
      <c r="R10" s="35"/>
      <c r="S10" s="39">
        <v>43342</v>
      </c>
      <c r="T10" s="35" t="s">
        <v>38</v>
      </c>
      <c r="U10" s="24" t="s">
        <v>39</v>
      </c>
      <c r="AW10" s="36" t="s">
        <v>40</v>
      </c>
    </row>
    <row r="11" spans="1:49" s="36" customFormat="1" ht="27.6" hidden="1" x14ac:dyDescent="0.25">
      <c r="A11" s="24">
        <v>3</v>
      </c>
      <c r="B11" s="25">
        <v>43160</v>
      </c>
      <c r="C11" s="40" t="s">
        <v>41</v>
      </c>
      <c r="D11" s="24" t="s">
        <v>42</v>
      </c>
      <c r="E11" s="24" t="s">
        <v>30</v>
      </c>
      <c r="F11" s="24" t="s">
        <v>30</v>
      </c>
      <c r="G11" s="26" t="s">
        <v>43</v>
      </c>
      <c r="H11" s="41">
        <v>0</v>
      </c>
      <c r="I11" s="28">
        <v>0</v>
      </c>
      <c r="J11" s="42">
        <v>3</v>
      </c>
      <c r="K11" s="30">
        <f t="shared" si="1"/>
        <v>0</v>
      </c>
      <c r="L11" s="31">
        <f t="shared" si="2"/>
        <v>0</v>
      </c>
      <c r="M11" s="43">
        <v>3</v>
      </c>
      <c r="N11" s="32">
        <f t="shared" si="0"/>
        <v>0</v>
      </c>
      <c r="O11" s="33">
        <f t="shared" si="3"/>
        <v>0</v>
      </c>
      <c r="P11" s="44" t="s">
        <v>44</v>
      </c>
      <c r="Q11" s="45"/>
      <c r="R11" s="35"/>
      <c r="S11" s="39"/>
      <c r="T11" s="45"/>
      <c r="U11" s="24" t="s">
        <v>45</v>
      </c>
      <c r="AW11" s="36" t="s">
        <v>36</v>
      </c>
    </row>
    <row r="12" spans="1:49" s="36" customFormat="1" ht="41.4" x14ac:dyDescent="0.25">
      <c r="A12" s="24">
        <v>4</v>
      </c>
      <c r="B12" s="25">
        <v>43160</v>
      </c>
      <c r="C12" s="40" t="s">
        <v>46</v>
      </c>
      <c r="D12" s="24" t="s">
        <v>36</v>
      </c>
      <c r="E12" s="46" t="s">
        <v>30</v>
      </c>
      <c r="F12" s="46" t="s">
        <v>30</v>
      </c>
      <c r="G12" s="47" t="s">
        <v>47</v>
      </c>
      <c r="H12" s="41">
        <v>4</v>
      </c>
      <c r="I12" s="28">
        <f>110000*4/2</f>
        <v>220000</v>
      </c>
      <c r="J12" s="42">
        <v>3</v>
      </c>
      <c r="K12" s="30">
        <f t="shared" si="1"/>
        <v>3</v>
      </c>
      <c r="L12" s="31">
        <f t="shared" si="2"/>
        <v>110000</v>
      </c>
      <c r="M12" s="43">
        <v>3</v>
      </c>
      <c r="N12" s="32">
        <f t="shared" si="0"/>
        <v>3</v>
      </c>
      <c r="O12" s="33">
        <f t="shared" si="3"/>
        <v>110000</v>
      </c>
      <c r="P12" s="38" t="s">
        <v>48</v>
      </c>
      <c r="Q12" s="34" t="s">
        <v>30</v>
      </c>
      <c r="R12" s="35"/>
      <c r="S12" s="39">
        <v>43245</v>
      </c>
      <c r="T12" s="35" t="s">
        <v>38</v>
      </c>
      <c r="U12" s="24"/>
      <c r="AW12" s="36" t="s">
        <v>42</v>
      </c>
    </row>
    <row r="13" spans="1:49" s="36" customFormat="1" ht="27.6" x14ac:dyDescent="0.25">
      <c r="A13" s="24">
        <v>5</v>
      </c>
      <c r="B13" s="25">
        <v>43160</v>
      </c>
      <c r="C13" s="48" t="s">
        <v>49</v>
      </c>
      <c r="D13" s="24" t="s">
        <v>34</v>
      </c>
      <c r="E13" s="49" t="s">
        <v>31</v>
      </c>
      <c r="F13" s="49" t="s">
        <v>31</v>
      </c>
      <c r="G13" s="26" t="s">
        <v>32</v>
      </c>
      <c r="H13" s="50">
        <v>3</v>
      </c>
      <c r="I13" s="28">
        <f>75000*3</f>
        <v>225000</v>
      </c>
      <c r="J13" s="51">
        <v>3</v>
      </c>
      <c r="K13" s="30">
        <f t="shared" si="1"/>
        <v>2.25</v>
      </c>
      <c r="L13" s="31">
        <f t="shared" si="2"/>
        <v>112500</v>
      </c>
      <c r="M13" s="52">
        <v>3</v>
      </c>
      <c r="N13" s="32">
        <f t="shared" si="0"/>
        <v>2.25</v>
      </c>
      <c r="O13" s="33">
        <f t="shared" si="3"/>
        <v>112500</v>
      </c>
      <c r="P13" s="53"/>
      <c r="Q13" s="54"/>
      <c r="R13" s="55"/>
      <c r="S13" s="56"/>
      <c r="T13" s="48"/>
      <c r="U13" s="24" t="s">
        <v>50</v>
      </c>
      <c r="AW13" s="36" t="s">
        <v>51</v>
      </c>
    </row>
    <row r="14" spans="1:49" s="36" customFormat="1" ht="42.6" customHeight="1" x14ac:dyDescent="0.25">
      <c r="A14" s="24">
        <v>6</v>
      </c>
      <c r="B14" s="25">
        <v>43160</v>
      </c>
      <c r="C14" s="24" t="s">
        <v>52</v>
      </c>
      <c r="D14" s="24" t="s">
        <v>36</v>
      </c>
      <c r="E14" s="34" t="s">
        <v>30</v>
      </c>
      <c r="F14" s="34" t="s">
        <v>30</v>
      </c>
      <c r="G14" s="26" t="s">
        <v>32</v>
      </c>
      <c r="H14" s="41">
        <v>2</v>
      </c>
      <c r="I14" s="35">
        <v>20000</v>
      </c>
      <c r="J14" s="24">
        <v>1</v>
      </c>
      <c r="K14" s="30">
        <f t="shared" si="1"/>
        <v>1</v>
      </c>
      <c r="L14" s="31">
        <f t="shared" si="2"/>
        <v>2000</v>
      </c>
      <c r="M14" s="57">
        <v>1</v>
      </c>
      <c r="N14" s="32">
        <f t="shared" si="0"/>
        <v>1</v>
      </c>
      <c r="O14" s="33">
        <f t="shared" si="3"/>
        <v>2000</v>
      </c>
      <c r="P14" s="57" t="s">
        <v>53</v>
      </c>
      <c r="Q14" s="24" t="s">
        <v>54</v>
      </c>
      <c r="R14" s="58">
        <v>0</v>
      </c>
      <c r="S14" s="59">
        <v>43231</v>
      </c>
      <c r="T14" s="35" t="s">
        <v>38</v>
      </c>
      <c r="U14" s="24" t="s">
        <v>50</v>
      </c>
      <c r="AW14" s="36" t="s">
        <v>29</v>
      </c>
    </row>
    <row r="15" spans="1:49" s="36" customFormat="1" ht="27.6" x14ac:dyDescent="0.25">
      <c r="A15" s="24">
        <v>7</v>
      </c>
      <c r="B15" s="25">
        <v>43160</v>
      </c>
      <c r="C15" s="24" t="s">
        <v>55</v>
      </c>
      <c r="D15" s="24" t="s">
        <v>56</v>
      </c>
      <c r="E15" s="34" t="s">
        <v>30</v>
      </c>
      <c r="F15" s="34" t="s">
        <v>30</v>
      </c>
      <c r="G15" s="26" t="s">
        <v>57</v>
      </c>
      <c r="H15" s="41">
        <v>6</v>
      </c>
      <c r="I15" s="35">
        <f>117450*6*(2/3)+1770000</f>
        <v>2239800</v>
      </c>
      <c r="J15" s="24">
        <v>3</v>
      </c>
      <c r="K15" s="30">
        <f t="shared" si="1"/>
        <v>4.5</v>
      </c>
      <c r="L15" s="31">
        <f t="shared" si="2"/>
        <v>1119900</v>
      </c>
      <c r="M15" s="57">
        <v>3</v>
      </c>
      <c r="N15" s="32">
        <f t="shared" si="0"/>
        <v>4.5</v>
      </c>
      <c r="O15" s="33">
        <f t="shared" si="3"/>
        <v>1119900</v>
      </c>
      <c r="P15" s="60"/>
      <c r="Q15" s="24"/>
      <c r="R15" s="58"/>
      <c r="S15" s="59"/>
      <c r="T15" s="24"/>
      <c r="U15" s="40"/>
      <c r="AW15" s="36" t="s">
        <v>58</v>
      </c>
    </row>
    <row r="16" spans="1:49" s="36" customFormat="1" ht="27.6" x14ac:dyDescent="0.25">
      <c r="A16" s="24">
        <v>8</v>
      </c>
      <c r="B16" s="25">
        <v>43160</v>
      </c>
      <c r="C16" s="61" t="s">
        <v>59</v>
      </c>
      <c r="D16" s="61" t="s">
        <v>51</v>
      </c>
      <c r="E16" s="62" t="s">
        <v>30</v>
      </c>
      <c r="F16" s="62" t="s">
        <v>30</v>
      </c>
      <c r="G16" s="47" t="s">
        <v>47</v>
      </c>
      <c r="H16" s="50">
        <v>3</v>
      </c>
      <c r="I16" s="63">
        <f>110000*3</f>
        <v>330000</v>
      </c>
      <c r="J16" s="61">
        <v>9</v>
      </c>
      <c r="K16" s="30">
        <f t="shared" si="1"/>
        <v>3</v>
      </c>
      <c r="L16" s="31">
        <f t="shared" si="2"/>
        <v>330000</v>
      </c>
      <c r="M16" s="64">
        <v>3</v>
      </c>
      <c r="N16" s="32">
        <f t="shared" si="0"/>
        <v>2.25</v>
      </c>
      <c r="O16" s="33">
        <f t="shared" si="3"/>
        <v>165000</v>
      </c>
      <c r="P16" s="57" t="s">
        <v>60</v>
      </c>
      <c r="Q16" s="61" t="s">
        <v>30</v>
      </c>
      <c r="R16" s="65">
        <v>0</v>
      </c>
      <c r="S16" s="66">
        <v>43160</v>
      </c>
      <c r="T16" s="61" t="s">
        <v>38</v>
      </c>
      <c r="U16" s="48"/>
      <c r="AW16" s="36" t="s">
        <v>61</v>
      </c>
    </row>
    <row r="17" spans="1:49" ht="59.25" customHeight="1" x14ac:dyDescent="0.25">
      <c r="A17" s="67">
        <v>9</v>
      </c>
      <c r="B17" s="68">
        <v>43164</v>
      </c>
      <c r="C17" s="24" t="s">
        <v>62</v>
      </c>
      <c r="D17" s="67" t="s">
        <v>61</v>
      </c>
      <c r="E17" s="62" t="s">
        <v>30</v>
      </c>
      <c r="F17" s="62" t="s">
        <v>30</v>
      </c>
      <c r="G17" s="26" t="s">
        <v>57</v>
      </c>
      <c r="H17" s="41">
        <v>0</v>
      </c>
      <c r="I17" s="35">
        <f>-((8000*100)+320*125)</f>
        <v>-840000</v>
      </c>
      <c r="J17" s="24">
        <v>1</v>
      </c>
      <c r="K17" s="69">
        <f t="shared" si="1"/>
        <v>0</v>
      </c>
      <c r="L17" s="70">
        <f t="shared" si="2"/>
        <v>-84000</v>
      </c>
      <c r="M17" s="71">
        <v>1</v>
      </c>
      <c r="N17" s="69">
        <f t="shared" si="0"/>
        <v>0</v>
      </c>
      <c r="O17" s="72">
        <f t="shared" si="3"/>
        <v>-84000</v>
      </c>
      <c r="P17" s="73"/>
      <c r="Q17" s="24"/>
      <c r="R17" s="74"/>
      <c r="S17" s="59"/>
      <c r="T17" s="24"/>
      <c r="U17" s="75"/>
      <c r="AW17" s="4" t="s">
        <v>63</v>
      </c>
    </row>
    <row r="18" spans="1:49" ht="27.6" x14ac:dyDescent="0.25">
      <c r="A18" s="67">
        <v>10</v>
      </c>
      <c r="B18" s="68">
        <v>43213</v>
      </c>
      <c r="C18" s="24" t="s">
        <v>64</v>
      </c>
      <c r="D18" s="67" t="s">
        <v>36</v>
      </c>
      <c r="E18" s="67" t="s">
        <v>30</v>
      </c>
      <c r="F18" s="67" t="s">
        <v>30</v>
      </c>
      <c r="G18" s="26" t="s">
        <v>32</v>
      </c>
      <c r="H18" s="76">
        <v>0</v>
      </c>
      <c r="I18" s="35">
        <v>0</v>
      </c>
      <c r="J18" s="71">
        <v>3</v>
      </c>
      <c r="K18" s="69">
        <f t="shared" si="1"/>
        <v>0</v>
      </c>
      <c r="L18" s="70">
        <f t="shared" si="2"/>
        <v>0</v>
      </c>
      <c r="M18" s="71">
        <v>3</v>
      </c>
      <c r="N18" s="69">
        <f t="shared" si="0"/>
        <v>0</v>
      </c>
      <c r="O18" s="72">
        <f t="shared" si="3"/>
        <v>0</v>
      </c>
      <c r="P18" s="38"/>
      <c r="Q18" s="34"/>
      <c r="R18" s="77"/>
      <c r="S18" s="39"/>
      <c r="T18" s="35"/>
      <c r="U18" s="67"/>
      <c r="AW18" s="4" t="s">
        <v>56</v>
      </c>
    </row>
    <row r="19" spans="1:49" ht="28.2" thickBot="1" x14ac:dyDescent="0.3">
      <c r="A19" s="67">
        <v>11</v>
      </c>
      <c r="B19" s="68">
        <v>43297</v>
      </c>
      <c r="C19" s="24" t="s">
        <v>65</v>
      </c>
      <c r="D19" s="67" t="s">
        <v>34</v>
      </c>
      <c r="E19" s="67" t="s">
        <v>30</v>
      </c>
      <c r="F19" s="67" t="s">
        <v>30</v>
      </c>
      <c r="G19" s="26" t="s">
        <v>57</v>
      </c>
      <c r="H19" s="76">
        <v>3</v>
      </c>
      <c r="I19" s="77">
        <v>225000</v>
      </c>
      <c r="J19" s="78">
        <v>9</v>
      </c>
      <c r="K19" s="69">
        <f t="shared" si="1"/>
        <v>3</v>
      </c>
      <c r="L19" s="72">
        <f t="shared" si="2"/>
        <v>225000</v>
      </c>
      <c r="M19" s="79">
        <v>9</v>
      </c>
      <c r="N19" s="80">
        <f t="shared" si="0"/>
        <v>3</v>
      </c>
      <c r="O19" s="81">
        <f t="shared" si="3"/>
        <v>225000</v>
      </c>
      <c r="P19" s="82" t="s">
        <v>66</v>
      </c>
      <c r="Q19" s="83" t="s">
        <v>30</v>
      </c>
      <c r="R19" s="77">
        <v>45000</v>
      </c>
      <c r="S19" s="84">
        <v>43469</v>
      </c>
      <c r="T19" s="77" t="s">
        <v>67</v>
      </c>
      <c r="U19" s="67" t="s">
        <v>68</v>
      </c>
      <c r="AW19" s="4" t="s">
        <v>69</v>
      </c>
    </row>
    <row r="20" spans="1:49" ht="28.2" thickBot="1" x14ac:dyDescent="0.3">
      <c r="A20" s="67">
        <v>12</v>
      </c>
      <c r="B20" s="68"/>
      <c r="C20" s="24" t="s">
        <v>70</v>
      </c>
      <c r="D20" s="67"/>
      <c r="E20" s="67"/>
      <c r="F20" s="67"/>
      <c r="G20" s="26" t="s">
        <v>57</v>
      </c>
      <c r="H20" s="76">
        <v>2</v>
      </c>
      <c r="I20" s="77">
        <f>150*2500</f>
        <v>375000</v>
      </c>
      <c r="J20" s="78">
        <v>9</v>
      </c>
      <c r="K20" s="69">
        <f t="shared" si="1"/>
        <v>2</v>
      </c>
      <c r="L20" s="72">
        <f t="shared" si="2"/>
        <v>375000</v>
      </c>
      <c r="M20" s="85">
        <v>9</v>
      </c>
      <c r="N20" s="80">
        <f t="shared" si="0"/>
        <v>2</v>
      </c>
      <c r="O20" s="81">
        <f t="shared" si="3"/>
        <v>375000</v>
      </c>
      <c r="P20" s="86"/>
      <c r="Q20" s="83"/>
      <c r="R20" s="77"/>
      <c r="S20" s="84"/>
      <c r="T20" s="77"/>
      <c r="U20" s="67"/>
    </row>
    <row r="21" spans="1:49" ht="61.2" customHeight="1" x14ac:dyDescent="0.25">
      <c r="A21" s="67">
        <v>13</v>
      </c>
      <c r="B21" s="68"/>
      <c r="C21" s="24" t="s">
        <v>71</v>
      </c>
      <c r="D21" s="67"/>
      <c r="E21" s="34"/>
      <c r="F21" s="34"/>
      <c r="G21" s="26" t="s">
        <v>57</v>
      </c>
      <c r="H21" s="41">
        <v>3</v>
      </c>
      <c r="I21" s="35">
        <v>225000</v>
      </c>
      <c r="J21" s="24">
        <v>9</v>
      </c>
      <c r="K21" s="69">
        <f t="shared" si="1"/>
        <v>3</v>
      </c>
      <c r="L21" s="72">
        <f t="shared" si="2"/>
        <v>225000</v>
      </c>
      <c r="M21" s="87">
        <v>3</v>
      </c>
      <c r="N21" s="88">
        <f t="shared" si="0"/>
        <v>2.25</v>
      </c>
      <c r="O21" s="89">
        <f t="shared" si="3"/>
        <v>112500</v>
      </c>
      <c r="P21" s="90"/>
      <c r="Q21" s="24"/>
      <c r="R21" s="74"/>
      <c r="S21" s="59"/>
      <c r="T21" s="24"/>
      <c r="U21" s="75"/>
    </row>
    <row r="22" spans="1:49" ht="15" thickBot="1" x14ac:dyDescent="0.3">
      <c r="A22" s="91"/>
      <c r="B22" s="92"/>
      <c r="G22" s="93"/>
      <c r="I22" s="93"/>
      <c r="L22" s="93"/>
      <c r="M22" s="93"/>
      <c r="N22" s="93"/>
      <c r="O22" s="93"/>
      <c r="R22" s="93"/>
    </row>
    <row r="23" spans="1:49" ht="159" thickBot="1" x14ac:dyDescent="0.3">
      <c r="A23" s="3" t="s">
        <v>72</v>
      </c>
      <c r="C23" s="94" t="s">
        <v>73</v>
      </c>
      <c r="D23" s="94"/>
      <c r="G23" s="93"/>
      <c r="I23" s="4"/>
      <c r="J23" s="95" t="s">
        <v>5</v>
      </c>
      <c r="K23" s="96">
        <f>MAX(K10:K21)</f>
        <v>4.5</v>
      </c>
      <c r="L23" s="97">
        <f>SUM(L10:L21)</f>
        <v>2440400</v>
      </c>
      <c r="M23" s="98" t="s">
        <v>6</v>
      </c>
      <c r="N23" s="96">
        <f>MAX(N10:N21)</f>
        <v>4.5</v>
      </c>
      <c r="O23" s="97">
        <f>SUM(O10:O21)</f>
        <v>2162900</v>
      </c>
      <c r="P23" s="94"/>
      <c r="R23" s="93"/>
    </row>
  </sheetData>
  <autoFilter ref="A8:AY16" xr:uid="{00000000-0009-0000-0000-000015000000}"/>
  <mergeCells count="25">
    <mergeCell ref="U7:U8"/>
    <mergeCell ref="O7:O8"/>
    <mergeCell ref="P7:P8"/>
    <mergeCell ref="Q7:Q8"/>
    <mergeCell ref="R7:R8"/>
    <mergeCell ref="S7:S8"/>
    <mergeCell ref="T7:T8"/>
    <mergeCell ref="G7:G8"/>
    <mergeCell ref="H7:H8"/>
    <mergeCell ref="I7:I8"/>
    <mergeCell ref="K7:K8"/>
    <mergeCell ref="L7:L8"/>
    <mergeCell ref="N7:N8"/>
    <mergeCell ref="A7:A8"/>
    <mergeCell ref="B7:B8"/>
    <mergeCell ref="C7:C8"/>
    <mergeCell ref="D7:D8"/>
    <mergeCell ref="E7:E8"/>
    <mergeCell ref="F7:F8"/>
    <mergeCell ref="A1:B1"/>
    <mergeCell ref="A2:B2"/>
    <mergeCell ref="A3:B3"/>
    <mergeCell ref="A4:B4"/>
    <mergeCell ref="J6:L6"/>
    <mergeCell ref="M6:O6"/>
  </mergeCells>
  <conditionalFormatting sqref="J9:J21">
    <cfRule type="cellIs" dxfId="12" priority="7" stopIfTrue="1" operator="equal">
      <formula>9</formula>
    </cfRule>
    <cfRule type="cellIs" dxfId="11" priority="8" stopIfTrue="1" operator="equal">
      <formula>3</formula>
    </cfRule>
    <cfRule type="cellIs" dxfId="10" priority="9" stopIfTrue="1" operator="equal">
      <formula>1</formula>
    </cfRule>
  </conditionalFormatting>
  <conditionalFormatting sqref="K9:L21">
    <cfRule type="expression" dxfId="9" priority="1">
      <formula>$J9=1</formula>
    </cfRule>
    <cfRule type="expression" dxfId="8" priority="2">
      <formula>$J9=9</formula>
    </cfRule>
    <cfRule type="expression" dxfId="7" priority="3">
      <formula>$J9=3</formula>
    </cfRule>
  </conditionalFormatting>
  <conditionalFormatting sqref="M9:M21">
    <cfRule type="cellIs" dxfId="6" priority="4" stopIfTrue="1" operator="equal">
      <formula>9</formula>
    </cfRule>
    <cfRule type="cellIs" dxfId="5" priority="5" stopIfTrue="1" operator="equal">
      <formula>3</formula>
    </cfRule>
    <cfRule type="cellIs" dxfId="4" priority="6" stopIfTrue="1" operator="equal">
      <formula>1</formula>
    </cfRule>
  </conditionalFormatting>
  <conditionalFormatting sqref="N9:O21">
    <cfRule type="expression" dxfId="3" priority="11">
      <formula>$M9=1</formula>
    </cfRule>
    <cfRule type="expression" dxfId="2" priority="12">
      <formula>$M9=9</formula>
    </cfRule>
    <cfRule type="expression" dxfId="1" priority="13">
      <formula>$M9=3</formula>
    </cfRule>
  </conditionalFormatting>
  <conditionalFormatting sqref="T13">
    <cfRule type="cellIs" dxfId="0" priority="10" stopIfTrue="1" operator="equal">
      <formula>"Completed"</formula>
    </cfRule>
  </conditionalFormatting>
  <dataValidations count="3">
    <dataValidation type="list" allowBlank="1" showInputMessage="1" showErrorMessage="1" sqref="D9:D21" xr:uid="{FD949A61-BBBF-4FD0-B92A-61C83CEEAF30}">
      <formula1>$AW$9:$AW$19</formula1>
    </dataValidation>
    <dataValidation type="list" allowBlank="1" showInputMessage="1" showErrorMessage="1" sqref="J9 J18 M17:M21 M9" xr:uid="{FB6D5759-9A72-4528-91D1-E51FF8EAB49A}">
      <formula1>"0,1,3,9"</formula1>
    </dataValidation>
    <dataValidation type="list" allowBlank="1" showInputMessage="1" showErrorMessage="1" errorTitle="High, Medium or Low" promptTitle="High, Medium or Low" sqref="J19:J21 J10:J17 M10:M16" xr:uid="{1C089B58-17B2-47C8-AF8D-A9ED38600A01}">
      <formula1>"1,3,9"</formula1>
    </dataValidation>
  </dataValidations>
  <pageMargins left="0.7" right="0.7" top="0.75" bottom="0.75" header="0.3" footer="0.3"/>
  <pageSetup scale="87" fitToWidth="0" orientation="landscape" r:id="rId1"/>
  <headerFooter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Risk Register </vt:lpstr>
      <vt:lpstr>'Risk Register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Vaughn Staples</dc:creator>
  <cp:lastModifiedBy>Vaughn Staples</cp:lastModifiedBy>
  <dcterms:created xsi:type="dcterms:W3CDTF">2026-05-05T16:06:05Z</dcterms:created>
  <dcterms:modified xsi:type="dcterms:W3CDTF">2026-05-05T16:06:32Z</dcterms:modified>
</cp:coreProperties>
</file>